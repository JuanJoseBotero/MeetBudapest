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7B58E90-47D1-47E1-A5AA-2744840AA9D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strucciones" sheetId="1" r:id="rId1"/>
    <sheet name="1. Fuentes" sheetId="2" r:id="rId2"/>
    <sheet name="2. Diccionario" sheetId="3" r:id="rId3"/>
    <sheet name="3. Bitácora IA" sheetId="4" r:id="rId4"/>
    <sheet name="Resumen" sheetId="5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7" i="5" s="1"/>
  <c r="B14" i="5"/>
  <c r="B13" i="5"/>
  <c r="B12" i="5"/>
  <c r="B11" i="5"/>
  <c r="B10" i="5"/>
  <c r="B9" i="5"/>
  <c r="B8" i="5"/>
  <c r="B7" i="5"/>
  <c r="B6" i="5"/>
  <c r="B5" i="5"/>
  <c r="B4" i="5"/>
</calcChain>
</file>

<file path=xl/sharedStrings.xml><?xml version="1.0" encoding="utf-8"?>
<sst xmlns="http://schemas.openxmlformats.org/spreadsheetml/2006/main" count="2916" uniqueCount="1288">
  <si>
    <t>Taller de datos · Entrega 1 · El lago y su diccionario</t>
  </si>
  <si>
    <t>Tópicos de Sistemas de Información · Profesor Santiago Jiménez Londoño · topicos-si.vercel.app/Tallerdatos</t>
  </si>
  <si>
    <t>Datos del grupo</t>
  </si>
  <si>
    <t>Ciudad elegida: Budapest</t>
  </si>
  <si>
    <t>Integrantes: Juan José Botero - Santiago Idárraga - Samuel Villa</t>
  </si>
  <si>
    <t>Enlace al repositorio o a la carpeta del lago: https://github.com/sidarragac/MeetBudapest</t>
  </si>
  <si>
    <t>Qué entregan en este archivo</t>
  </si>
  <si>
    <t>1. Fuentes · una fila por cada fuente que encontraron en el rastreo, entre o no al lago. Las descartadas también cuentan: explican las decisiones.</t>
  </si>
  <si>
    <t>2. Diccionario · una fila por cada campo (columna o clave del JSON) que quedó en el lago. Si un campo no está aquí, no existe.</t>
  </si>
  <si>
    <t>3. Bitácora IA · qué le encargaron a la IA durante la búsqueda, qué respondió y cómo lo comprobaron.</t>
  </si>
  <si>
    <t>Resumen · se llena solo con fórmulas. No lo editen.</t>
  </si>
  <si>
    <t>Cómo llenarlo</t>
  </si>
  <si>
    <t>• Escriban solo en las celdas amarillas. La fila gris de cada hoja es un ejemplo (Medellín): pueden borrarla o dejarla, el resumen no la cuenta.</t>
  </si>
  <si>
    <t>• El ID de fuente (F01, F02…) une las tres hojas: úsenlo igual en Fuentes, Diccionario y Bitácora IA.</t>
  </si>
  <si>
    <t>• Las columnas con lista desplegable solo aceptan esas opciones.</t>
  </si>
  <si>
    <t>• La licencia se copia tal como aparece en la fuente. Si la fuente no dice nada, escriban «no declara»: no la supongan.</t>
  </si>
  <si>
    <t>• «Fecha en que la probaron» es el día en que la descarga o la API respondió de verdad, no el día en que la IA la mencionó.</t>
  </si>
  <si>
    <t>• Una fuente que la IA nombró y que ustedes no pudieron abrir va igual en Fuentes, con estado «No responde» o «No existe».</t>
  </si>
  <si>
    <t>1. Catálogo de fuentes</t>
  </si>
  <si>
    <t>Una fila por fuente encontrada. Escriban en las celdas amarillas; la fila gris es un ejemplo.</t>
  </si>
  <si>
    <t>ID fuente</t>
  </si>
  <si>
    <t>Nombre del conjunto de datos</t>
  </si>
  <si>
    <t>Entidad que lo publica</t>
  </si>
  <si>
    <t>Tipo de publicador</t>
  </si>
  <si>
    <t>URL exacta (descarga o API)</t>
  </si>
  <si>
    <t>Formato</t>
  </si>
  <si>
    <t>Cómo se obtiene</t>
  </si>
  <si>
    <t>Licencia (tal como aparece)</t>
  </si>
  <si>
    <t>¿Trae datos de personas?</t>
  </si>
  <si>
    <t>Cobertura geográfica</t>
  </si>
  <si>
    <t>Periodo que cubre</t>
  </si>
  <si>
    <t>Frecuencia de actualización</t>
  </si>
  <si>
    <t>Fecha en que la probaron (AAAA-MM-DD)</t>
  </si>
  <si>
    <t>Estado</t>
  </si>
  <si>
    <t>Cómo la encontraron (IA o búsqueda)</t>
  </si>
  <si>
    <t>Observaciones</t>
  </si>
  <si>
    <t>F02</t>
  </si>
  <si>
    <t>Límites de los 23 distritos, equipamientos (POI) y conteo de edificios de OpenStreetMap</t>
  </si>
  <si>
    <t>OpenStreetMap Foundation y colaboradores de OSM (servidor Overpass API)</t>
  </si>
  <si>
    <t>Plataforma colaborativa</t>
  </si>
  <si>
    <t>https://overpass-api.de/api/interpreter</t>
  </si>
  <si>
    <t>JSON</t>
  </si>
  <si>
    <t>API sin llave</t>
  </si>
  <si>
    <t>Open Data Commons Open Database License (ODbL)</t>
  </si>
  <si>
    <t>No</t>
  </si>
  <si>
    <t>Budapest: área administrativa y sus 23 distritos (admin_level=9)</t>
  </si>
  <si>
    <t>Estado de OSM al 2026-09-29</t>
  </si>
  <si>
    <t>Tiempo real</t>
  </si>
  <si>
    <t>2026-09-29</t>
  </si>
  <si>
    <t>Integrada al lago</t>
  </si>
  <si>
    <t>Sugerida por Gemini (bitácora #2)</t>
  </si>
  <si>
    <t>F03</t>
  </si>
  <si>
    <t>Extracto OSM de Hungría: estado de réplica, polígono de recorte y archivo .osm.pbf</t>
  </si>
  <si>
    <t>Geofabrik GmbH</t>
  </si>
  <si>
    <t>Empresa privada</t>
  </si>
  <si>
    <t>https://download.geofabrik.de/europe/hungary-updates/state.txt · https://download.geofabrik.de/europe/hungary.poly · https://download.geofabrik.de/europe/hungary-latest.osm.pbf</t>
  </si>
  <si>
    <t>Otro</t>
  </si>
  <si>
    <t>Descarga directa</t>
  </si>
  <si>
    <t>Open Data Commons Open Database License (ODbL) (datos de OpenStreetMap)</t>
  </si>
  <si>
    <t>Hungría</t>
  </si>
  <si>
    <t>Réplica del 2026-09-28 (secuencia 4924)</t>
  </si>
  <si>
    <t>Diaria</t>
  </si>
  <si>
    <t>Portal: https://download.geofabrik.de/europe/hungary.html. Se guardan state.txt y hungary.poly como versión reproducible de OSM; el .osm.pbf (325,9 MB) solo se descarga con la opción --pbf porque leer PBF exige librerías externas.</t>
  </si>
  <si>
    <t>F04</t>
  </si>
  <si>
    <t>High Resolution Layers 2018: Imperviousness Density (suelo sellado) y Tree Cover Density (arbolado)</t>
  </si>
  <si>
    <t>Agencia Europea de Medio Ambiente (EEA) · Copernicus Land Monitoring Service</t>
  </si>
  <si>
    <t>Entidad pública</t>
  </si>
  <si>
    <t>https://image.discomap.eea.europa.eu/arcgis/rest/services/GioLandPublic/HRL_ImperviousnessDensity_2018/ImageServer/computeStatisticsHistograms (y HRL_TreeCoverDensity_2018)</t>
  </si>
  <si>
    <t>Full, open and free access (Reglamento Delegado (UE) n.º 1159/2013)</t>
  </si>
  <si>
    <t>Europa; se consulta el polígono de cada uno de los 23 distritos</t>
  </si>
  <si>
    <t>Año de referencia 2018</t>
  </si>
  <si>
    <t>Única vez</t>
  </si>
  <si>
    <t>Sugerida por Gemini (bitácora #5)</t>
  </si>
  <si>
    <t>Portal: https://land.copernicus.eu/. Producto trienal; se usa la edición 2018. El servicio no declara licencia en sus metadatos (copyrightText vacío): se copia la política de datos de land.copernicus.eu.</t>
  </si>
  <si>
    <t>F05</t>
  </si>
  <si>
    <t>GTFS estático de la red de transporte público de Budapest (rutas, paradas, viajes, horarios, trazados)</t>
  </si>
  <si>
    <t>Budapesti Közlekedési Központ (BKK Zrt.)</t>
  </si>
  <si>
    <t>https://go.bkk.hu/api/static/v1/public-gtfs/budapest_gtfs.zip</t>
  </si>
  <si>
    <t>CSV</t>
  </si>
  <si>
    <t>Creative Commons 4.0 International (CC BY 4.0) Data source: BKK Zrt., CC BY 4.0</t>
  </si>
  <si>
    <t>Red de BKK: Budapest y municipios servidos</t>
  </si>
  <si>
    <t>Vigencia del feed 2026-09-28 a 2026-11-01</t>
  </si>
  <si>
    <t>Sugerida por Gemini (bitácora #3)</t>
  </si>
  <si>
    <t>Portal: https://opendata.bkk.hu/. ZIP de archivos CSV (GTFS, 59,4 MB). En la corrida completa el servidor de BKK no respondió (timeout) y se usó el mismo feed desde el espejo de Mobility Database (F06). Día laborable de referencia: miércoles 2026-09-30.</t>
  </si>
  <si>
    <t>F06</t>
  </si>
  <si>
    <t>Catálogo de feeds GTFS/GTFS-RT (feeds_v2.csv) y espejo del GTFS de BKK (mdb-990)</t>
  </si>
  <si>
    <t>MobilityData</t>
  </si>
  <si>
    <t>Academia u ONG</t>
  </si>
  <si>
    <t>https://files.mobilitydatabase.org/feeds_v2.csv · https://files.mobilitydatabase.org/mdb-990/latest.zip</t>
  </si>
  <si>
    <t>Apache License 2.0 (repositorio mobility-database-catalogs)</t>
  </si>
  <si>
    <t>Mundial; filtrado a los 5 feeds de Budapest</t>
  </si>
  <si>
    <t>Catálogo vigente (extraído 2026-09-29)</t>
  </si>
  <si>
    <t>El enlace entregado (tfs-42) es el id heredado de TransitFeeds; hoy el feed oficial de BKK es mdb-990. El catálogo revela que el tiempo real de BKK exige clave (F16).</t>
  </si>
  <si>
    <t>F07</t>
  </si>
  <si>
    <t>MOL Bubi: estado del sistema de bicicleta pública (feed del operador nextbike, dominio bh)</t>
  </si>
  <si>
    <t>nextbike GmbH para BKK (operador de MOL Bubi)</t>
  </si>
  <si>
    <t>https://maps2.nextbike.net/maps/nextbike-live.json?domains=bh</t>
  </si>
  <si>
    <t>no declara</t>
  </si>
  <si>
    <t>Budapest</t>
  </si>
  <si>
    <t>Instantánea en el momento de la consulta</t>
  </si>
  <si>
    <t>F08</t>
  </si>
  <si>
    <t>Helységnévtár (nomenclátor de localidades): población, superficie y viviendas de los 23 distritos, ediciones 2020–2025</t>
  </si>
  <si>
    <t>Központi Statisztikai Hivatal (KSH)</t>
  </si>
  <si>
    <t>https://www.ksh.hu/docs/helysegnevtar/hnt_letoltes_2025.xlsx (una edición por año, 2020–2025)</t>
  </si>
  <si>
    <t>XLSX</t>
  </si>
  <si>
    <t>Solo conteos por zona</t>
  </si>
  <si>
    <t>Hungría por localidad; se usan las 23 filas «Budapest NN. ker.»</t>
  </si>
  <si>
    <t>Estado al 1 de enero de 2020 a 2025</t>
  </si>
  <si>
    <t>Anual</t>
  </si>
  <si>
    <t>Sugerida por Gemini (bitácora #4)</t>
  </si>
  <si>
    <t>Portal: https://www.ksh.hu/?lang=en. El XLSX no trae licencia; los datasets HVD del mismo publicador declaran CC BY 4.0 (F09). La edición 2026 aún no existe (404). Población total 2025: 1 685 209.</t>
  </si>
  <si>
    <t>F09</t>
  </si>
  <si>
    <t>Conjuntos de datos de alto valor (HVD): población por edad y sexo, edad mediana, dependencia, natalidad, mortalidad, esperanza de vida, mortalidad infantil</t>
  </si>
  <si>
    <t>https://data.ksh.hu/datasets/{id}/data/{recurso}.csv (catálogo: https://data.ksh.hu/datasets.json)</t>
  </si>
  <si>
    <t>CC BY 4.0 (https://creativecommons.org/licenses/by/4.0/, declarada en metadata.rdf)</t>
  </si>
  <si>
    <t>Hungría, Budapest NUTS2 (HU11) y NUTS3 (HU110)</t>
  </si>
  <si>
    <t>2013–2024</t>
  </si>
  <si>
    <t>Portal: https://data.ksh.hu/openapi/. No llega a escala de distrito. La API bloquea CORS. Natalidad y mortalidad vienen en un mismo archivo publicado en dos datasets: se deduplicó.</t>
  </si>
  <si>
    <t>F10</t>
  </si>
  <si>
    <t>Indicadores regionales (NUTS2/NUTS3) y de ciudad (Urban Audit) de Budapest: PIB, empleo, ingreso, pobreza, turismo, vehículos, precios de vivienda</t>
  </si>
  <si>
    <t>Eurostat · Comisión Europea</t>
  </si>
  <si>
    <t>https://ec.europa.eu/eurostat/api/dissemination/statistics/1.0/data/{dataset}?geo=HU11 (21 consultas)</t>
  </si>
  <si>
    <t>Creative Commons Attribution 4.0 International licence</t>
  </si>
  <si>
    <t>Budapest HU11, HU110 y ciudad HU001C; Hungría para el índice de precios de vivienda</t>
  </si>
  <si>
    <t>1989–2026 según indicador</t>
  </si>
  <si>
    <t>Sugerida por Gemini (bitácora #8)</t>
  </si>
  <si>
    <t>Portal: https://ec.europa.eu/eurostat/web/main/data/database. Formato JSON-stat 2.0. El índice de precios de vivienda no existe por región: se usa el nacional y así se indica.</t>
  </si>
  <si>
    <t>F11</t>
  </si>
  <si>
    <t>Mediciones de sensores ciudadanos de partículas (PM2.5, PM10), temperatura y humedad</t>
  </si>
  <si>
    <t>Sensor.Community (OK Lab Stuttgart)</t>
  </si>
  <si>
    <t>https://data.sensor.community/airrohr/v1/filter/area=47.4979,19.0402,20</t>
  </si>
  <si>
    <t>DB Contents License (Open Data Commons DbCL 1.0)</t>
  </si>
  <si>
    <t>Radio de 20 km alrededor del centro de Budapest</t>
  </si>
  <si>
    <t>Promedio de los últimos 5 minutos</t>
  </si>
  <si>
    <t>Sugerida por Gemini (bitácora #6)</t>
  </si>
  <si>
    <t>F12</t>
  </si>
  <si>
    <t>senseBoxes exteriores de Budapest y la última medición de cada sensor</t>
  </si>
  <si>
    <t>openSenseMap (Reedu GmbH / Universität Münster)</t>
  </si>
  <si>
    <t>https://api.opensensemap.org/boxes?bbox=18.925,47.349,19.335,47.614&amp;exposure=outdoor · https://api.opensensemap.org/boxes/{id}/sensors</t>
  </si>
  <si>
    <t>Public Domain Dedication and License 1.0</t>
  </si>
  <si>
    <t>Texto libre sin revisar</t>
  </si>
  <si>
    <t>Rectángulo envolvente de Budapest</t>
  </si>
  <si>
    <t>Última medición; vigente si tiene menos de 7 días</t>
  </si>
  <si>
    <t>F13</t>
  </si>
  <si>
    <t>Air Quality Statistics (e-Reporting): estadísticas anuales oficiales por estación (PM2.5, PM10, NO2, O3)</t>
  </si>
  <si>
    <t>Agencia Europea de Medio Ambiente (EEA)</t>
  </si>
  <si>
    <t>https://discodata.eea.europa.eu/sql?query=SELECT … FROM [AirQualityDataFlows].[latest].[AirQualityStatistics] WHERE CityCode LIKE 'HU001C%'</t>
  </si>
  <si>
    <t>Reutilización libre y gratuita, citando siempre a la EEA como fuente (aviso legal de la EEA)</t>
  </si>
  <si>
    <t>15 estaciones oficiales de Budapest</t>
  </si>
  <si>
    <t>1997–2026</t>
  </si>
  <si>
    <t>Portal: https://www.eea.europa.eu/data-and-maps/data/aqereporting-9 (redirige al Datahub). E1a = datos validados; E2a = año en curso no validado. 813 estadísticas.</t>
  </si>
  <si>
    <t>F14</t>
  </si>
  <si>
    <t>Reanálisis ERA5 diario (2000–hoy), pronóstico horario y calidad del aire modelada CAMS en el centro de Budapest</t>
  </si>
  <si>
    <t>Open-Meteo.com</t>
  </si>
  <si>
    <t>https://archive-api.open-meteo.com/v1/archive · https://api.open-meteo.com/v1/forecast · https://air-quality-api.open-meteo.com/v1/air-quality</t>
  </si>
  <si>
    <t>Attribution 4.0 International (CC BY 4.0)</t>
  </si>
  <si>
    <t>Punto del centro (47.4979, 19.0402)</t>
  </si>
  <si>
    <t>2000-01-01 a hoy + 3 días de pronóstico</t>
  </si>
  <si>
    <t>Sugerida por Gemini (bitácora #7)</t>
  </si>
  <si>
    <t>F15</t>
  </si>
  <si>
    <t>Sitio no oficial de datos de MOL Bubi</t>
  </si>
  <si>
    <t>No se sabe</t>
  </si>
  <si>
    <t>https://bubi.freewb.hu/</t>
  </si>
  <si>
    <t>Página web</t>
  </si>
  <si>
    <t>Solo PDF o página</t>
  </si>
  <si>
    <t>No responde</t>
  </si>
  <si>
    <t>Enlace entregado al grupo (búsqueda en Google)</t>
  </si>
  <si>
    <t>Probado el 2026-09-29: sin conexión (el servidor no respondió). Se reemplazó por el feed del operador (F07).</t>
  </si>
  <si>
    <t>F16</t>
  </si>
  <si>
    <t>GTFS-Realtime de BKK: posiciones de vehículos, actualizaciones de viajes y alertas</t>
  </si>
  <si>
    <t>https://go.bkk.hu/api/query/v1/ws/gtfs-rt/full/VehiclePositions.pb (también TripUpdates.pb y Alerts.pb)</t>
  </si>
  <si>
    <t>API con llave gratuita</t>
  </si>
  <si>
    <t>Creative Commons 4.0 International (CC BY 4.0) (según opendata.bkk.hu/data-sources)</t>
  </si>
  <si>
    <t>Red de BKK</t>
  </si>
  <si>
    <t>Descartada</t>
  </si>
  <si>
    <t xml:space="preserve">Encontrada en el catálogo de Mobility Database (F06) </t>
  </si>
  <si>
    <t>Protocol Buffers. Requiere registro en fiok.bkk.hu y una clave (parámetro key). Se descartó para no depender de credenciales: el sistema mide lo programado, no lo realizado.</t>
  </si>
  <si>
    <t>F17</t>
  </si>
  <si>
    <t>Urban Atlas 2018: usos del suelo de la zona urbana funcional de Budapest</t>
  </si>
  <si>
    <t>https://land.copernicus.eu/</t>
  </si>
  <si>
    <t>Bloquea scripts o pide sesión</t>
  </si>
  <si>
    <t>Zona urbana funcional de Budapest</t>
  </si>
  <si>
    <t>Año 2018</t>
  </si>
  <si>
    <t>GeoPackage cuya descarga exige iniciar sesión en land.copernicus.eu. Se reemplazó por la estadística zonal de las capas HRL 2018 (F04).</t>
  </si>
  <si>
    <t>2. Diccionario de datos</t>
  </si>
  <si>
    <t>Una fila por campo que quedó en el lago. Si un campo del lago no aparece aquí, no existe.</t>
  </si>
  <si>
    <t>Archivo o tabla en el lago</t>
  </si>
  <si>
    <t>Nombre del campo en el lago</t>
  </si>
  <si>
    <t>Nombre original en la fuente</t>
  </si>
  <si>
    <t>Qué significa (en una frase)</t>
  </si>
  <si>
    <t>Tipo de dato</t>
  </si>
  <si>
    <t>Unidad de medida</t>
  </si>
  <si>
    <t>Ejemplo de valor</t>
  </si>
  <si>
    <t>¿Puede venir vacío?</t>
  </si>
  <si>
    <t>Valores permitidos o rango</t>
  </si>
  <si>
    <t>Clasificación</t>
  </si>
  <si>
    <t>Transformación que le hicieron</t>
  </si>
  <si>
    <t>Pregunta del sistema que ayuda a responder</t>
  </si>
  <si>
    <t>silver/budapest.sqlite · distritos</t>
  </si>
  <si>
    <t>distrito_id</t>
  </si>
  <si>
    <t>tags.ref (relación admin_level=9)</t>
  </si>
  <si>
    <t>Número de distrito (I–XXIII en arábigo)</t>
  </si>
  <si>
    <t>Código</t>
  </si>
  <si>
    <t>1–23</t>
  </si>
  <si>
    <t>5</t>
  </si>
  <si>
    <t>1 – 23</t>
  </si>
  <si>
    <t>Pública</t>
  </si>
  <si>
    <t>Texto a entero; si falta ref se deduce del numeral romano del nombre</t>
  </si>
  <si>
    <t>¿Cómo se reparten población, vivienda y superficie entre los 23 distritos?</t>
  </si>
  <si>
    <t>nombre</t>
  </si>
  <si>
    <t>tags.name</t>
  </si>
  <si>
    <t>Nombre oficial en húngaro, p. ej. «V. kerület»</t>
  </si>
  <si>
    <t>Texto</t>
  </si>
  <si>
    <t>—</t>
  </si>
  <si>
    <t>V. kerület</t>
  </si>
  <si>
    <t>Texto (23 valores distintos)</t>
  </si>
  <si>
    <t>Sin cambio</t>
  </si>
  <si>
    <t>romano</t>
  </si>
  <si>
    <t>derivado</t>
  </si>
  <si>
    <t>Numeral romano del distrito</t>
  </si>
  <si>
    <t>V</t>
  </si>
  <si>
    <t>Numeral romano calculado desde distrito_id</t>
  </si>
  <si>
    <t>apodo</t>
  </si>
  <si>
    <t>lista curada</t>
  </si>
  <si>
    <t>Nombre tradicional del distrito (Belváros-Lipótváros, Újbuda…) — etiqueta OSM name:hu alt / curado</t>
  </si>
  <si>
    <t>Belváros-Lipótváros</t>
  </si>
  <si>
    <t>Nombre tradicional asignado por el equipo a cada distrito (tabla fija en el código)</t>
  </si>
  <si>
    <t>lado</t>
  </si>
  <si>
    <t>Margen del Danubio</t>
  </si>
  <si>
    <t>Buda|Pest|Csepel</t>
  </si>
  <si>
    <t>Pest</t>
  </si>
  <si>
    <t>Buda, Csepel, Pest</t>
  </si>
  <si>
    <t>Buda si el distrito es I, II, III, XI, XII o XXII; Csepel si es XXI; Pest en los demás</t>
  </si>
  <si>
    <t>osm_rel_id</t>
  </si>
  <si>
    <t>id (elemento relation)</t>
  </si>
  <si>
    <t>Id de la relación OSM del límite</t>
  </si>
  <si>
    <t>1 606 103</t>
  </si>
  <si>
    <t>ksh_codigo</t>
  </si>
  <si>
    <t>Helység KSH kódja</t>
  </si>
  <si>
    <t>Código KSH de 5 dígitos (Helységnévtár)</t>
  </si>
  <si>
    <t>13392</t>
  </si>
  <si>
    <t>Texto de 5 dígitos; unido por el número de la fila «Budapest NN. ker.»</t>
  </si>
  <si>
    <t>area_km2</t>
  </si>
  <si>
    <t>members[].geometry</t>
  </si>
  <si>
    <t>Superficie calculada del polígono OSM</t>
  </si>
  <si>
    <t>Decimal</t>
  </si>
  <si>
    <t>km²</t>
  </si>
  <si>
    <t>2,614</t>
  </si>
  <si>
    <t>2,085 – 54,653</t>
  </si>
  <si>
    <t>Vías del límite unidas en anillos; área por proyección equirectangular local</t>
  </si>
  <si>
    <t>area_ha_ksh</t>
  </si>
  <si>
    <t>Terület (hektár)</t>
  </si>
  <si>
    <t>Superficie oficial KSH</t>
  </si>
  <si>
    <t>ha</t>
  </si>
  <si>
    <t>259</t>
  </si>
  <si>
    <t>209 – 5 482</t>
  </si>
  <si>
    <t>Texto a decimal</t>
  </si>
  <si>
    <t>poblacion</t>
  </si>
  <si>
    <t>Lakó-népesség</t>
  </si>
  <si>
    <t>Población residente (lakónépesség) al 1 de enero, KSH</t>
  </si>
  <si>
    <t>Entero</t>
  </si>
  <si>
    <t>hab</t>
  </si>
  <si>
    <t>23 678</t>
  </si>
  <si>
    <t>22 486 – 149 812</t>
  </si>
  <si>
    <t>Edición más reciente del Helységnévtár; texto a entero</t>
  </si>
  <si>
    <t>poblacion_anterior</t>
  </si>
  <si>
    <t>Lakó-népesség (edición anterior)</t>
  </si>
  <si>
    <t>Población residente del año anterior, KSH</t>
  </si>
  <si>
    <t>23 701</t>
  </si>
  <si>
    <t>22 297 – 149 126</t>
  </si>
  <si>
    <t>Edición del año anterior; texto a entero</t>
  </si>
  <si>
    <t>viviendas</t>
  </si>
  <si>
    <t>Lakások száma</t>
  </si>
  <si>
    <t>Número de viviendas (lakások), KSH</t>
  </si>
  <si>
    <t>20 390</t>
  </si>
  <si>
    <t>9 337 – 86 278</t>
  </si>
  <si>
    <t>Texto a entero</t>
  </si>
  <si>
    <t>anio_ksh</t>
  </si>
  <si>
    <t>año del archivo hnt_letoltes_AAAA.xlsx</t>
  </si>
  <si>
    <t>Año de referencia del Helységnévtár</t>
  </si>
  <si>
    <t>Fecha</t>
  </si>
  <si>
    <t>año</t>
  </si>
  <si>
    <t>2 025</t>
  </si>
  <si>
    <t>Se toma del nombre del archivo</t>
  </si>
  <si>
    <t>centro_lat</t>
  </si>
  <si>
    <t>calculado</t>
  </si>
  <si>
    <t>Latitud del centroide</t>
  </si>
  <si>
    <t>Coordenada / geometría</t>
  </si>
  <si>
    <t>grados</t>
  </si>
  <si>
    <t>47,5004</t>
  </si>
  <si>
    <t>47,3893 – 47,5796</t>
  </si>
  <si>
    <t>Centroide ponderado por área de los anillos exteriores</t>
  </si>
  <si>
    <t>centro_lon</t>
  </si>
  <si>
    <t>Longitud del centroide</t>
  </si>
  <si>
    <t>19,0507</t>
  </si>
  <si>
    <t>18,9774 – 19,2692</t>
  </si>
  <si>
    <t>geojson</t>
  </si>
  <si>
    <t>members[].geometry (roles outer/inner)</t>
  </si>
  <si>
    <t>Geometría MultiPolygon completa (WGS84)</t>
  </si>
  <si>
    <t>GeoJSON</t>
  </si>
  <si>
    <t>{"type": "MultiPolygon", "coordinates": [[[[19.0615618, 47.4897519], [19.0609686, 47.48…</t>
  </si>
  <si>
    <t>GeoJSON MultiPolygon en WGS84</t>
  </si>
  <si>
    <t>Ensamblado en MultiPolygon GeoJSON WGS84; huecos asignados a su exterior</t>
  </si>
  <si>
    <t>silver/budapest.sqlite · osm_poi</t>
  </si>
  <si>
    <t>osm_tipo</t>
  </si>
  <si>
    <t>type</t>
  </si>
  <si>
    <t>Tipo de elemento OSM</t>
  </si>
  <si>
    <t>node|way|relation</t>
  </si>
  <si>
    <t>way</t>
  </si>
  <si>
    <t>node, relation, way</t>
  </si>
  <si>
    <t>¿Qué servicios (educación, salud, cultura, comercio, verde) hay en cada distrito y a 500 m de un punto?</t>
  </si>
  <si>
    <t>osm_id</t>
  </si>
  <si>
    <t>id</t>
  </si>
  <si>
    <t>Id OSM</t>
  </si>
  <si>
    <t>671 990 591</t>
  </si>
  <si>
    <t>Texto (16 970 valores distintos)</t>
  </si>
  <si>
    <t>categoria</t>
  </si>
  <si>
    <t>clave y valor OSM</t>
  </si>
  <si>
    <t>Categoría temática: educacion, salud, cultura, turismo, alojamiento, gastronomia, comercio, verde, deporte, seguridad, administracion, movilidad</t>
  </si>
  <si>
    <t>turismo</t>
  </si>
  <si>
    <t>Texto (12 valores distintos)</t>
  </si>
  <si>
    <t>amenity/tourism/leisure/shop agrupados en 12 categorías del sitio</t>
  </si>
  <si>
    <t>subcategoria</t>
  </si>
  <si>
    <t>tags.amenity | tourism | leisure | shop</t>
  </si>
  <si>
    <t>Valor de la etiqueta OSM (school, hospital, museum, hotel…)</t>
  </si>
  <si>
    <t>museum</t>
  </si>
  <si>
    <t>Texto (50 valores distintos)</t>
  </si>
  <si>
    <t>Se guarda el valor de la etiqueta que clasificó el elemento</t>
  </si>
  <si>
    <t>Etiqueta name</t>
  </si>
  <si>
    <t>Nemzeti Gyászpark Látogatóközpont</t>
  </si>
  <si>
    <t>Sí</t>
  </si>
  <si>
    <t>Texto (9 893 valores distintos)</t>
  </si>
  <si>
    <t>lat</t>
  </si>
  <si>
    <t>lat / center.lat</t>
  </si>
  <si>
    <t>Latitud (nodo o centro)</t>
  </si>
  <si>
    <t>47,4758</t>
  </si>
  <si>
    <t>47,3622 – 47,611</t>
  </si>
  <si>
    <t>Para vías y relaciones se usa el centro calculado por Overpass (out center)</t>
  </si>
  <si>
    <t>lon</t>
  </si>
  <si>
    <t>lon / center.lon</t>
  </si>
  <si>
    <t>Longitud</t>
  </si>
  <si>
    <t>19,2027</t>
  </si>
  <si>
    <t>18,7562 – 19,3139</t>
  </si>
  <si>
    <t>estrellas</t>
  </si>
  <si>
    <t>tags.stars</t>
  </si>
  <si>
    <t>Etiqueta stars (alojamiento)</t>
  </si>
  <si>
    <t>4</t>
  </si>
  <si>
    <t>1 – 5</t>
  </si>
  <si>
    <t>wikidata</t>
  </si>
  <si>
    <t>tags.wikidata</t>
  </si>
  <si>
    <t>Etiqueta wikidata</t>
  </si>
  <si>
    <t>Q1490219</t>
  </si>
  <si>
    <t>Texto (661 valores distintos)</t>
  </si>
  <si>
    <t>silver/budapest.sqlite · osm_edificios_distrito</t>
  </si>
  <si>
    <t>área consultada</t>
  </si>
  <si>
    <t>Distrito</t>
  </si>
  <si>
    <t>Número del distrito cuya área se consultó</t>
  </si>
  <si>
    <t>¿Qué tan construido está cada distrito?</t>
  </si>
  <si>
    <t>edificios</t>
  </si>
  <si>
    <t>count.tags.total</t>
  </si>
  <si>
    <t>Vías y relaciones con etiqueta building</t>
  </si>
  <si>
    <t>1 076</t>
  </si>
  <si>
    <t>1 076 – 32 444</t>
  </si>
  <si>
    <t>Consulta out count de vías y relaciones con building=* en el área</t>
  </si>
  <si>
    <t>edificios_con_niveles</t>
  </si>
  <si>
    <t>Edificios con etiqueta building:levels</t>
  </si>
  <si>
    <t>421</t>
  </si>
  <si>
    <t>168 – 3 758</t>
  </si>
  <si>
    <t>Consulta out count de building con building:levels</t>
  </si>
  <si>
    <t>fecha_osm</t>
  </si>
  <si>
    <t>osm3s.timestamp_osm_base</t>
  </si>
  <si>
    <t>Marca temporal osm_base de Overpass</t>
  </si>
  <si>
    <t>ISO 8601</t>
  </si>
  <si>
    <t>2026-09-29T22:18:46Z</t>
  </si>
  <si>
    <t>silver/budapest.sqlite · geofabrik_extracto</t>
  </si>
  <si>
    <t>fecha_replica</t>
  </si>
  <si>
    <t>timestamp (state.txt)</t>
  </si>
  <si>
    <t>timestamp del state.txt de Geofabrik</t>
  </si>
  <si>
    <t>2026-09-28T20:23:05Z</t>
  </si>
  <si>
    <t>Se quitan los escapes «\:»</t>
  </si>
  <si>
    <t>¿De qué fecha es la cartografía OSM con la que trabaja el sistema?</t>
  </si>
  <si>
    <t>secuencia</t>
  </si>
  <si>
    <t>sequenceNumber (state.txt)</t>
  </si>
  <si>
    <t>sequenceNumber de replicación</t>
  </si>
  <si>
    <t>4 924</t>
  </si>
  <si>
    <t>url_pbf</t>
  </si>
  <si>
    <t>URL del extracto</t>
  </si>
  <si>
    <t>URL del extracto .osm.pbf</t>
  </si>
  <si>
    <t>https://download.geofabrik.de/europe/hungary-latest.osm.pbf</t>
  </si>
  <si>
    <t>pbf_bytes</t>
  </si>
  <si>
    <t>Content-Length (cabecera HTTP)</t>
  </si>
  <si>
    <t>Tamaño del .osm.pbf (cabecera HTTP)</t>
  </si>
  <si>
    <t>bytes</t>
  </si>
  <si>
    <t>325 861 310</t>
  </si>
  <si>
    <t>Petición HEAD; texto a entero</t>
  </si>
  <si>
    <t>pbf_en_bronze</t>
  </si>
  <si>
    <t>1 si el .osm.pbf se descargó a bronze (flag --pbf)</t>
  </si>
  <si>
    <t>Booleano</t>
  </si>
  <si>
    <t>0/1</t>
  </si>
  <si>
    <t>0</t>
  </si>
  <si>
    <t>0 = no, 1 = sí</t>
  </si>
  <si>
    <t>1 si el .osm.pbf se descargó con la opción --pbf</t>
  </si>
  <si>
    <t>poly_vertices</t>
  </si>
  <si>
    <t>hungary.poly</t>
  </si>
  <si>
    <t>Vértices del polígono de recorte hungary.poly</t>
  </si>
  <si>
    <t>372</t>
  </si>
  <si>
    <t>Conteo de pares de coordenadas del polígono</t>
  </si>
  <si>
    <t>ingesta</t>
  </si>
  <si>
    <t>Fecha de la ingesta</t>
  </si>
  <si>
    <t>fecha</t>
  </si>
  <si>
    <t>Fecha de la carpeta de bronze</t>
  </si>
  <si>
    <t>silver/budapest.sqlite · copernicus_distrito</t>
  </si>
  <si>
    <t>polígono enviado</t>
  </si>
  <si>
    <t>7</t>
  </si>
  <si>
    <t>Distrito cuyo polígono simplificado se envió al servicio</t>
  </si>
  <si>
    <t>¿Qué distritos tienen más suelo sellado y menos arbolado (riesgo de isla de calor)?</t>
  </si>
  <si>
    <t>capa</t>
  </si>
  <si>
    <t>servicio consultado</t>
  </si>
  <si>
    <t>imperviousness_2018 (IMD, sellado del suelo) | tree_cover_2018 (TCD, cobertura arbórea)</t>
  </si>
  <si>
    <t>imperviousness_2018</t>
  </si>
  <si>
    <t>imperviousness_2018, tree_cover_2018</t>
  </si>
  <si>
    <t>HRL_ImperviousnessDensity_2018 a imperviousness_2018; HRL_TreeCoverDensity_2018 a tree_cover_2018</t>
  </si>
  <si>
    <t>media</t>
  </si>
  <si>
    <t>histograms[0].counts</t>
  </si>
  <si>
    <t>Media de píxeles válidos 0–100</t>
  </si>
  <si>
    <t>% (0–100)</t>
  </si>
  <si>
    <t>84,72</t>
  </si>
  <si>
    <t>0,56 – 84,72</t>
  </si>
  <si>
    <t>Media recalculada solo con píxeles 0–100 (excluye no-dato)</t>
  </si>
  <si>
    <t>mediana</t>
  </si>
  <si>
    <t>Mediana</t>
  </si>
  <si>
    <t>%</t>
  </si>
  <si>
    <t>98</t>
  </si>
  <si>
    <t>0 – 98</t>
  </si>
  <si>
    <t>Mediana sobre el histograma de píxeles válidos</t>
  </si>
  <si>
    <t>desviacion</t>
  </si>
  <si>
    <t>Desviación estándar</t>
  </si>
  <si>
    <t>24,11</t>
  </si>
  <si>
    <t>5,51 – 41,7</t>
  </si>
  <si>
    <t>Desviación estándar sobre píxeles válidos</t>
  </si>
  <si>
    <t>pct_alto</t>
  </si>
  <si>
    <t>IMD: píxeles ≥ 80 % sellados; TCD: píxeles con cobertura ≥ 10 %</t>
  </si>
  <si>
    <t>% de superficie</t>
  </si>
  <si>
    <t>74,22</t>
  </si>
  <si>
    <t>1,05 – 74,22</t>
  </si>
  <si>
    <t>% de píxeles con sellado ≥ 80 (IMD) o arbolado ≥ 10 (TCD)</t>
  </si>
  <si>
    <t>pixeles</t>
  </si>
  <si>
    <t>Píxeles válidos considerados</t>
  </si>
  <si>
    <t>píxeles</t>
  </si>
  <si>
    <t>45 898</t>
  </si>
  <si>
    <t>45 898 – 1 199 608</t>
  </si>
  <si>
    <t>Suma de píxeles válidos (contados en Web Mercator)</t>
  </si>
  <si>
    <t>silver/budapest.sqlite · gtfs_rutas</t>
  </si>
  <si>
    <t>route_id</t>
  </si>
  <si>
    <t>Id GTFS de la ruta</t>
  </si>
  <si>
    <t>5100</t>
  </si>
  <si>
    <t>Texto (388 valores distintos)</t>
  </si>
  <si>
    <t>¿Cuánta oferta de transporte público programa BKK en un día laborable y en qué modos?</t>
  </si>
  <si>
    <t>nombre_corto</t>
  </si>
  <si>
    <t>route_short_name</t>
  </si>
  <si>
    <t>route_short_name (número de línea)</t>
  </si>
  <si>
    <t>M1</t>
  </si>
  <si>
    <t>Texto (375 valores distintos)</t>
  </si>
  <si>
    <t>nombre_largo</t>
  </si>
  <si>
    <t>route_long_name / route_desc</t>
  </si>
  <si>
    <t>Vörösmarty tér / Oktogon</t>
  </si>
  <si>
    <t>Texto (337 valores distintos)</t>
  </si>
  <si>
    <t>Se usa route_desc si route_long_name está vacío</t>
  </si>
  <si>
    <t>tipo_gtfs</t>
  </si>
  <si>
    <t>route_type</t>
  </si>
  <si>
    <t>route_type original (0 tranvía, 1 metro, 3 bus, 4 ferry, 11 trolebús, 109 HÉV…)</t>
  </si>
  <si>
    <t>1</t>
  </si>
  <si>
    <t>0, 1, 3, 4, 11, 109</t>
  </si>
  <si>
    <t>modo</t>
  </si>
  <si>
    <t>Modo normalizado: metro, tranvia, trolebus, bus, hev, ferry, otro</t>
  </si>
  <si>
    <t>metro</t>
  </si>
  <si>
    <t>bus, ferry, hev, metro, tranvia, trolebus</t>
  </si>
  <si>
    <t>0/900 tranvía, 1/401 metro, 2/109 HÉV, 3/7xx bus, 4/1000/1200 ferry, 11/800 trolebús, 7 funicular, 6/1300 telesilla</t>
  </si>
  <si>
    <t>color</t>
  </si>
  <si>
    <t>route_color</t>
  </si>
  <si>
    <t>hex</t>
  </si>
  <si>
    <t>#FFD800</t>
  </si>
  <si>
    <t>Texto (13 valores distintos)</t>
  </si>
  <si>
    <t>Se antepone «#»</t>
  </si>
  <si>
    <t>viajes_dia_ref</t>
  </si>
  <si>
    <t>trips.txt + calendar.txt + calendar_dates.txt</t>
  </si>
  <si>
    <t>Viajes activos el día laborable de referencia</t>
  </si>
  <si>
    <t>viajes/día</t>
  </si>
  <si>
    <t>646</t>
  </si>
  <si>
    <t>0 – 810</t>
  </si>
  <si>
    <t>Viajes cuyo servicio está activo el miércoles de referencia</t>
  </si>
  <si>
    <t>silver/budapest.sqlite · gtfs_paradas</t>
  </si>
  <si>
    <t>stop_id</t>
  </si>
  <si>
    <t>Id GTFS de la parada</t>
  </si>
  <si>
    <t>F00568</t>
  </si>
  <si>
    <t>Texto (6 313 valores distintos)</t>
  </si>
  <si>
    <t>¿Qué distritos y zonas tienen más o menos transporte público por habitante y a 500 m?</t>
  </si>
  <si>
    <t>stop_name</t>
  </si>
  <si>
    <t>Bécsi út / Vörösvári út</t>
  </si>
  <si>
    <t>Texto (2 629 valores distintos)</t>
  </si>
  <si>
    <t>stop_lat</t>
  </si>
  <si>
    <t>47,5485</t>
  </si>
  <si>
    <t>47,1748 – 47,6611</t>
  </si>
  <si>
    <t>stop_lon</t>
  </si>
  <si>
    <t>19,029</t>
  </si>
  <si>
    <t>18,7193 – 19,3775</t>
  </si>
  <si>
    <t>tipo_ubicacion</t>
  </si>
  <si>
    <t>location_type</t>
  </si>
  <si>
    <t>location_type (0 parada, 1 estación…)</t>
  </si>
  <si>
    <t>0, 1, 2, 3</t>
  </si>
  <si>
    <t>Vacío a 0</t>
  </si>
  <si>
    <t>estacion_padre</t>
  </si>
  <si>
    <t>parent_station</t>
  </si>
  <si>
    <t>MERGED_F00568</t>
  </si>
  <si>
    <t>Texto (136 valores distintos)</t>
  </si>
  <si>
    <t>Vacío a nulo</t>
  </si>
  <si>
    <t>accesible</t>
  </si>
  <si>
    <t>wheelchair_boarding</t>
  </si>
  <si>
    <t>0/1/2</t>
  </si>
  <si>
    <t>0, 1, 2</t>
  </si>
  <si>
    <t>salidas_dia_ref</t>
  </si>
  <si>
    <t>stop_times.txt</t>
  </si>
  <si>
    <t>Detenciones programadas (stop_times) el día de referencia</t>
  </si>
  <si>
    <t>salidas/día</t>
  </si>
  <si>
    <t>613</t>
  </si>
  <si>
    <t>0 – 1 082</t>
  </si>
  <si>
    <t>Conteo de detenciones de los viajes activos el día de referencia (lectura en streaming)</t>
  </si>
  <si>
    <t>rutas_n</t>
  </si>
  <si>
    <t>stop_times + trips</t>
  </si>
  <si>
    <t>Rutas distintas que pasan el día de referencia</t>
  </si>
  <si>
    <t>rutas</t>
  </si>
  <si>
    <t>3</t>
  </si>
  <si>
    <t>0 – 21</t>
  </si>
  <si>
    <t>modos</t>
  </si>
  <si>
    <t>routes.route_type</t>
  </si>
  <si>
    <t>Modos que sirven la parada, separados por coma</t>
  </si>
  <si>
    <t>tranvia</t>
  </si>
  <si>
    <t>Texto (10 valores distintos)</t>
  </si>
  <si>
    <t>Modos de esas rutas, separados por coma</t>
  </si>
  <si>
    <t>silver/budapest.sqlite · gtfs_lineas_geom</t>
  </si>
  <si>
    <t>Ruta</t>
  </si>
  <si>
    <t>Texto (60 valores distintos)</t>
  </si>
  <si>
    <t>¿Por dónde pasan el metro, el tranvía, el trolebús y el HÉV?</t>
  </si>
  <si>
    <t>Modo normalizado</t>
  </si>
  <si>
    <t>ferry, hev, metro, tranvia, trolebus</t>
  </si>
  <si>
    <t>Igual que gtfs_rutas.modo</t>
  </si>
  <si>
    <t>Línea</t>
  </si>
  <si>
    <t>Color</t>
  </si>
  <si>
    <t>Texto (9 valores distintos)</t>
  </si>
  <si>
    <t>shapes.txt (shape_pt_lat, shape_pt_lon, shape_pt_sequence)</t>
  </si>
  <si>
    <t>LineString WGS84</t>
  </si>
  <si>
    <t>{"type": "LineString", "coordinates": [[19.09057, 47.51959], [19.08863, 47.51965], [19.…</t>
  </si>
  <si>
    <t>GeoJSON LineString en WGS84</t>
  </si>
  <si>
    <t>Forma más usada por la ruta, ordenada y simplificada con Douglas-Peucker (~10 m)</t>
  </si>
  <si>
    <t>silver/budapest.sqlite · gtfs_feed</t>
  </si>
  <si>
    <t>editor</t>
  </si>
  <si>
    <t>feed_publisher_name</t>
  </si>
  <si>
    <t>BKK Zrt.</t>
  </si>
  <si>
    <t>¿De qué día y versión es la oferta de transporte medida?</t>
  </si>
  <si>
    <t>version</t>
  </si>
  <si>
    <t>feed_version</t>
  </si>
  <si>
    <t>2775.20260929</t>
  </si>
  <si>
    <t>inicio</t>
  </si>
  <si>
    <t>feed_start_date</t>
  </si>
  <si>
    <t>feed_start_date / primer servicio</t>
  </si>
  <si>
    <t>20260928</t>
  </si>
  <si>
    <t>Si falta, primera fecha del calendario</t>
  </si>
  <si>
    <t>fin</t>
  </si>
  <si>
    <t>feed_end_date</t>
  </si>
  <si>
    <t>feed_end_date / último servicio</t>
  </si>
  <si>
    <t>20261101</t>
  </si>
  <si>
    <t>Si falta, última fecha del calendario</t>
  </si>
  <si>
    <t>dia_referencia</t>
  </si>
  <si>
    <t>Primer miércoles dentro de la vigencia</t>
  </si>
  <si>
    <t>2026-09-30</t>
  </si>
  <si>
    <t>Primer miércoles desde la fecha de ingesta dentro de la vigencia</t>
  </si>
  <si>
    <t>Viajes activos el día de referencia</t>
  </si>
  <si>
    <t>viajes</t>
  </si>
  <si>
    <t>39 609</t>
  </si>
  <si>
    <t>detenciones_dia_ref</t>
  </si>
  <si>
    <t>stop_times del día de referencia</t>
  </si>
  <si>
    <t>detenciones</t>
  </si>
  <si>
    <t>809 300</t>
  </si>
  <si>
    <t>Detenciones de esos viajes</t>
  </si>
  <si>
    <t>silver/budapest.sqlite · mdb_feeds</t>
  </si>
  <si>
    <t>mdb_id</t>
  </si>
  <si>
    <t>Id Mobility Database</t>
  </si>
  <si>
    <t>mdb-990</t>
  </si>
  <si>
    <t>mdb-2672, mdb-2673, mdb-2674, mdb-862, mdb-990</t>
  </si>
  <si>
    <t>¿Qué feeds de transporte existen para Budapest y cuáles exigen clave?</t>
  </si>
  <si>
    <t>tipo</t>
  </si>
  <si>
    <t>data_type</t>
  </si>
  <si>
    <t>gtfs | gtfs_rt</t>
  </si>
  <si>
    <t>gtfs</t>
  </si>
  <si>
    <t>gtfs, gtfs_rt</t>
  </si>
  <si>
    <t>entidad</t>
  </si>
  <si>
    <t>entity_type</t>
  </si>
  <si>
    <t>Entidades RT: sa (alertas), tu (trip updates), vp (posiciones)</t>
  </si>
  <si>
    <t>sa</t>
  </si>
  <si>
    <t>sa, tu, vp</t>
  </si>
  <si>
    <t>proveedor</t>
  </si>
  <si>
    <t>provider</t>
  </si>
  <si>
    <t>Operador</t>
  </si>
  <si>
    <t>Budapesti Közlekedési Központ (BKK)</t>
  </si>
  <si>
    <t>Budapesti Közlekedési Központ (BKK), Weekendbus</t>
  </si>
  <si>
    <t>oficial</t>
  </si>
  <si>
    <t>is_official</t>
  </si>
  <si>
    <t>True</t>
  </si>
  <si>
    <t>estado</t>
  </si>
  <si>
    <t>status</t>
  </si>
  <si>
    <t>active | inactive | deprecated</t>
  </si>
  <si>
    <t>active</t>
  </si>
  <si>
    <t>active, inactive</t>
  </si>
  <si>
    <t>url_directa</t>
  </si>
  <si>
    <t>urls.direct_download</t>
  </si>
  <si>
    <t>http://apps.weekendbus.hu/gtfs/google_transit.zip, https://go.bkk.hu/api/query/v1/ws/gtfs-rt/full/Alerts.pb, https://go.bkk.hu/api/query/v1/ws/gtfs-rt/full/TripUpdates.pb, https://go.bkk.hu/api/query/v1/ws/gtfs-rt/full/VehiclePositions.pb, https://go.bkk.hu/api/static/v1/public-gtfs/budapest_gtfs.zip</t>
  </si>
  <si>
    <t>url_espejo</t>
  </si>
  <si>
    <t>urls.latest</t>
  </si>
  <si>
    <t>urls.latest (copia de MobilityData)</t>
  </si>
  <si>
    <t>https://files.mobilitydatabase.org/mdb-990/latest.zip</t>
  </si>
  <si>
    <t>https://files.mobilitydatabase.org/mdb-862/latest.zip, https://files.mobilitydatabase.org/mdb-990/latest.zip</t>
  </si>
  <si>
    <t>requiere_clave</t>
  </si>
  <si>
    <t>urls.authentication_type</t>
  </si>
  <si>
    <t>urls.authentication_type &gt; 0</t>
  </si>
  <si>
    <t>&gt; 0 a 1</t>
  </si>
  <si>
    <t>bbox</t>
  </si>
  <si>
    <t>location.bounding_box.minimum/maximum_latitude/longitude</t>
  </si>
  <si>
    <t>min_lat,max_lat,min_lon,max_lon</t>
  </si>
  <si>
    <t>47.174786,47.661056,18.719305,19.377499</t>
  </si>
  <si>
    <t>47.174786,47.661056,18.719305,19.377499, 47.490054,47.5615383,19.1358718,19.342477</t>
  </si>
  <si>
    <t>Cuatro valores unidos por coma</t>
  </si>
  <si>
    <t>extraido</t>
  </si>
  <si>
    <t>location.bounding_box.extracted_on</t>
  </si>
  <si>
    <t>bounding_box.extracted_on</t>
  </si>
  <si>
    <t>2026-09-29 01:44:04.013092+00:00</t>
  </si>
  <si>
    <t>2025-01-20 00:18:39.846122+00:00 – 2026-09-29 01:44:04.013092+00:00</t>
  </si>
  <si>
    <t>silver/budapest.sqlite · bubi_estaciones</t>
  </si>
  <si>
    <t>estacion_id</t>
  </si>
  <si>
    <t>¿Dónde hay bicicleta pública y qué distritos no la tienen?</t>
  </si>
  <si>
    <t>Nombre</t>
  </si>
  <si>
    <t>47,4562 – 47,5484</t>
  </si>
  <si>
    <t>19,009 – 19,1165</t>
  </si>
  <si>
    <t>ts</t>
  </si>
  <si>
    <t>hora de la ingesta</t>
  </si>
  <si>
    <t>silver/budapest.sqlite · ksh_hvd</t>
  </si>
  <si>
    <t>recurso</t>
  </si>
  <si>
    <t>recurso HVD descargado</t>
  </si>
  <si>
    <t>Clave del recurso: poblacion_edad_sexo, edad_mediana, natalidad, mortalidad, esperanza_vida, mortalidad_infantil</t>
  </si>
  <si>
    <t>edad_mediana</t>
  </si>
  <si>
    <t>edad_mediana, esperanza_vida, mortalidad_infantil, natalidad, poblacion_edad_sexo</t>
  </si>
  <si>
    <t>Nombre corto asignado a cada CSV</t>
  </si>
  <si>
    <t>¿Cómo envejece Budapest frente a Hungría y cómo evolucionan natalidad, mortalidad y esperanza de vida?</t>
  </si>
  <si>
    <t>indicador</t>
  </si>
  <si>
    <t>INDIC_DE / UNIT</t>
  </si>
  <si>
    <t>INDIC_DE / UNIT del SDMX (p. ej. FMEDAGEPOP, GBIRTHRT, NR)</t>
  </si>
  <si>
    <t>MEDAGEPOP</t>
  </si>
  <si>
    <t>Se usa INDIC_DE; si no existe, UNIT</t>
  </si>
  <si>
    <t>geo</t>
  </si>
  <si>
    <t>GEO</t>
  </si>
  <si>
    <t>HU, HU1, HU11, HU110</t>
  </si>
  <si>
    <t>NUTS</t>
  </si>
  <si>
    <t>HU110</t>
  </si>
  <si>
    <t>Se conservan solo HU, HU1, HU11 y HU110</t>
  </si>
  <si>
    <t>anio</t>
  </si>
  <si>
    <t>TIME</t>
  </si>
  <si>
    <t>TIME_PERIOD</t>
  </si>
  <si>
    <t>2 024</t>
  </si>
  <si>
    <t>2 013 – 2 024</t>
  </si>
  <si>
    <t>sexo</t>
  </si>
  <si>
    <t>SEX</t>
  </si>
  <si>
    <t>SEX (T si no aplica)</t>
  </si>
  <si>
    <t>T|M|F</t>
  </si>
  <si>
    <t>T</t>
  </si>
  <si>
    <t>F, M, T</t>
  </si>
  <si>
    <t>Vacío a T</t>
  </si>
  <si>
    <t>edad</t>
  </si>
  <si>
    <t>AGE</t>
  </si>
  <si>
    <t>AGE SDMX (Y_LT5, Y5-9…, TOTAL, Y_LT1)</t>
  </si>
  <si>
    <t>TOTAL</t>
  </si>
  <si>
    <t>Texto (107 valores distintos)</t>
  </si>
  <si>
    <t>Vacío a TOTAL</t>
  </si>
  <si>
    <t>valor</t>
  </si>
  <si>
    <t>VALUES</t>
  </si>
  <si>
    <t>OBS_VALUE</t>
  </si>
  <si>
    <t>según indicador</t>
  </si>
  <si>
    <t>43,7</t>
  </si>
  <si>
    <t>Según indicador y unidad</t>
  </si>
  <si>
    <t>Coma decimal a punto; «:» se descarta; filas duplicadas entre datasets eliminadas</t>
  </si>
  <si>
    <t>silver/budapest.sqlite · eurostat_obs</t>
  </si>
  <si>
    <t>dataset</t>
  </si>
  <si>
    <t>código del dataset consultado</t>
  </si>
  <si>
    <t>Código Eurostat (nama_10r_3gdp, urb_ctour…)</t>
  </si>
  <si>
    <t>nama_10r_3gdp</t>
  </si>
  <si>
    <t>Texto (19 valores distintos)</t>
  </si>
  <si>
    <t>¿Cómo evolucionan la economía, el empleo, el turismo y la vivienda de Budapest frente a la UE?</t>
  </si>
  <si>
    <t>geo / cities</t>
  </si>
  <si>
    <t>geo o cities</t>
  </si>
  <si>
    <t>HU, HU001C, HU11, HU110</t>
  </si>
  <si>
    <t>periodo</t>
  </si>
  <si>
    <t>time</t>
  </si>
  <si>
    <t>time (año o trimestre)</t>
  </si>
  <si>
    <t>2024</t>
  </si>
  <si>
    <t>1990 – 2026-Q1</t>
  </si>
  <si>
    <t>Sin cambio (año o AAAA-Qn)</t>
  </si>
  <si>
    <t>dimensiones</t>
  </si>
  <si>
    <t>id[] del JSON-stat</t>
  </si>
  <si>
    <t>Resto de dimensiones {dim: código}</t>
  </si>
  <si>
    <t>{"unit": "EUR_HAB"}</t>
  </si>
  <si>
    <t>Texto (185 valores distintos)</t>
  </si>
  <si>
    <t>Códigos de las demás dimensiones guardados como JSON</t>
  </si>
  <si>
    <t>etiqueta</t>
  </si>
  <si>
    <t>dimension.*.category.label</t>
  </si>
  <si>
    <t>Etiqueta legible del indicador (indic_ur, na_item…)</t>
  </si>
  <si>
    <t>Gross domestic product (GDP) at current market prices by NUTS 3 region</t>
  </si>
  <si>
    <t>Texto (184 valores distintos)</t>
  </si>
  <si>
    <t>Etiqueta del indicador (indic_ur, indic_sb, vehicle…) o título del dataset</t>
  </si>
  <si>
    <t>unidad</t>
  </si>
  <si>
    <t>asignada por consulta</t>
  </si>
  <si>
    <t>Unidad declarada</t>
  </si>
  <si>
    <t>€/hab</t>
  </si>
  <si>
    <t>Unidad legible fijada en la configuración de cada consulta</t>
  </si>
  <si>
    <t>value[posición]</t>
  </si>
  <si>
    <t>Valor</t>
  </si>
  <si>
    <t>según unidad</t>
  </si>
  <si>
    <t>47 600</t>
  </si>
  <si>
    <t>JSON-stat aplanado: cada posición se traduce a su combinación de categorías</t>
  </si>
  <si>
    <t>flag</t>
  </si>
  <si>
    <t>status[posición]</t>
  </si>
  <si>
    <t>Estado Eurostat (p provisional, e estimado, b ruptura)</t>
  </si>
  <si>
    <t>p</t>
  </si>
  <si>
    <t>b, d, e, p</t>
  </si>
  <si>
    <t>silver/budapest.sqlite · ksh_distritos_historico</t>
  </si>
  <si>
    <t>Helység megnevezése («Budapest NN. ker.»)</t>
  </si>
  <si>
    <t>Expresión regular a número de distrito</t>
  </si>
  <si>
    <t>¿Qué distritos ganan o pierden población desde 2020?</t>
  </si>
  <si>
    <t>— (año del archivo hnt_letoltes_AAAA.xlsx)</t>
  </si>
  <si>
    <t>Edición (estado al 1 de enero)</t>
  </si>
  <si>
    <t>2 020 – 2 025</t>
  </si>
  <si>
    <t>Código KSH</t>
  </si>
  <si>
    <t>area_ha</t>
  </si>
  <si>
    <t>Superficie</t>
  </si>
  <si>
    <t>Población residente</t>
  </si>
  <si>
    <t>22 266 – 149 812</t>
  </si>
  <si>
    <t>Viviendas</t>
  </si>
  <si>
    <t>8 817 – 86 278</t>
  </si>
  <si>
    <t>silver/budapest.sqlite · eea_estaciones</t>
  </si>
  <si>
    <t>estacion</t>
  </si>
  <si>
    <t>AirQualityStationEoICode</t>
  </si>
  <si>
    <t>AirQualityStationEoICode (p. ej. HU0022A)</t>
  </si>
  <si>
    <t>HU0022A</t>
  </si>
  <si>
    <t>Texto (15 valores distintos)</t>
  </si>
  <si>
    <t>Se quitan espacios</t>
  </si>
  <si>
    <t>¿Dónde mide la red oficial la calidad del aire?</t>
  </si>
  <si>
    <t>AQStationName</t>
  </si>
  <si>
    <t>Budapest Gilice</t>
  </si>
  <si>
    <t>Se quitan comillas</t>
  </si>
  <si>
    <t>AirQualityStationType</t>
  </si>
  <si>
    <t>Background | Traffic | Industrial</t>
  </si>
  <si>
    <t>Background</t>
  </si>
  <si>
    <t>Background, Industrial, Traffic</t>
  </si>
  <si>
    <t>area</t>
  </si>
  <si>
    <t>AirQualityStationArea</t>
  </si>
  <si>
    <t>Urban | Suburban | Rural</t>
  </si>
  <si>
    <t>Suburban</t>
  </si>
  <si>
    <t>Suburban, Urban, urban</t>
  </si>
  <si>
    <t>Latitude</t>
  </si>
  <si>
    <t>47,4308</t>
  </si>
  <si>
    <t>47,4244 – 47,5619</t>
  </si>
  <si>
    <t>Longitude</t>
  </si>
  <si>
    <t>19,1842</t>
  </si>
  <si>
    <t>18,96 – 19,1842</t>
  </si>
  <si>
    <t>altitud</t>
  </si>
  <si>
    <t>Altitude</t>
  </si>
  <si>
    <t>m</t>
  </si>
  <si>
    <t>153</t>
  </si>
  <si>
    <t>90 – 265</t>
  </si>
  <si>
    <t>silver/budapest.sqlite · eea_estadisticas</t>
  </si>
  <si>
    <t>Código EoI</t>
  </si>
  <si>
    <t>¿Cumple Budapest los límites de la UE y las guías de la OMS de PM2.5, PM10 y NO₂?</t>
  </si>
  <si>
    <t>contaminante</t>
  </si>
  <si>
    <t>AirPollutant</t>
  </si>
  <si>
    <t>PM2.5, PM10, NO2, O3</t>
  </si>
  <si>
    <t>PM2.5</t>
  </si>
  <si>
    <t>NO2, O3, PM10, PM2.5</t>
  </si>
  <si>
    <t>Solo PM2.5, PM10, NO2 y O3</t>
  </si>
  <si>
    <t>agregacion</t>
  </si>
  <si>
    <t>DataAggregationProcessId</t>
  </si>
  <si>
    <t>P1Y media anual; P1Y-daysAbove50 días &gt;50 µg/m³ (PM10); P1Y-hrsAbove200 horas &gt;200 (NO2); P1Y-dmaxAbove120 días (O3); SOMO35</t>
  </si>
  <si>
    <t>P1Y</t>
  </si>
  <si>
    <t>P1Y, P1Y-daysAbove50, P1Y-dmaxAbove120, P1Y-hrsAbove200, SOMO35</t>
  </si>
  <si>
    <t>Solo P1Y, P1Y-daysAbove50, P1Y-hrsAbove200, P1Y-dmaxAbove120 y SOMO35</t>
  </si>
  <si>
    <t>YearOfStatistics</t>
  </si>
  <si>
    <t>2 026</t>
  </si>
  <si>
    <t>1 997 – 2 026</t>
  </si>
  <si>
    <t>AirPollutionLevel</t>
  </si>
  <si>
    <t>µg/m³ | días | horas</t>
  </si>
  <si>
    <t>14,5769</t>
  </si>
  <si>
    <t>0 – 9 904,5394</t>
  </si>
  <si>
    <t>UnitOfAirpollutionLevel</t>
  </si>
  <si>
    <t>ug/m3</t>
  </si>
  <si>
    <t>count, ug/m3</t>
  </si>
  <si>
    <t>cobertura</t>
  </si>
  <si>
    <t>DataCoverage</t>
  </si>
  <si>
    <t>64,28</t>
  </si>
  <si>
    <t>3,84 – 100</t>
  </si>
  <si>
    <t>Sin cambio; el sitio solo promedia estaciones con cobertura ≥ 75 %</t>
  </si>
  <si>
    <t>verificacion</t>
  </si>
  <si>
    <t>Verification</t>
  </si>
  <si>
    <t>1 verificado, 2 preliminar, 3 no verificado</t>
  </si>
  <si>
    <t>1/2/3</t>
  </si>
  <si>
    <t>1, 3</t>
  </si>
  <si>
    <t>flujo</t>
  </si>
  <si>
    <t>SourceDataFlow</t>
  </si>
  <si>
    <t>SourceDataFlow (E1a / E2a)</t>
  </si>
  <si>
    <t>E2a/UTD AQ e-Reporting</t>
  </si>
  <si>
    <t>E1a/validated data AQ e-Reporting, E2a/UTD AQ e-Reporting, Reporting within EoI/AirBase 8</t>
  </si>
  <si>
    <t>silver/budapest.sqlite · sc_sensores</t>
  </si>
  <si>
    <t>sensor_id</t>
  </si>
  <si>
    <t>sensor.id</t>
  </si>
  <si>
    <t>Id de sensor</t>
  </si>
  <si>
    <t>75 793</t>
  </si>
  <si>
    <t>Texto (190 valores distintos)</t>
  </si>
  <si>
    <t>Una fila por sensor</t>
  </si>
  <si>
    <t>¿Cómo está el aire ahora en cada distrito según los sensores ciudadanos?</t>
  </si>
  <si>
    <t>ubicacion_id</t>
  </si>
  <si>
    <t>location.id</t>
  </si>
  <si>
    <t>Id de ubicación</t>
  </si>
  <si>
    <t>64 418</t>
  </si>
  <si>
    <t>Texto (112 valores distintos)</t>
  </si>
  <si>
    <t>tipo_sensor</t>
  </si>
  <si>
    <t>sensor.sensor_type.name</t>
  </si>
  <si>
    <t>SDS011, SPS30, BME280, DHT22…</t>
  </si>
  <si>
    <t>SDS011</t>
  </si>
  <si>
    <t>BME280, DHT22, HTU21D, SDS011, SEN5x, SHT30, SHT31, SPS30</t>
  </si>
  <si>
    <t>location.latitude</t>
  </si>
  <si>
    <t>47,536</t>
  </si>
  <si>
    <t>47,324 – 47,6645</t>
  </si>
  <si>
    <t>Sensible</t>
  </si>
  <si>
    <t>Exacta solo en silver; en gold y en el sitio se redondea a 3 decimales (~110 m)</t>
  </si>
  <si>
    <t>location.longitude</t>
  </si>
  <si>
    <t>19,074</t>
  </si>
  <si>
    <t>18,7847 – 19,306</t>
  </si>
  <si>
    <t>pm25</t>
  </si>
  <si>
    <t>sensordatavalues[value_type=P2]</t>
  </si>
  <si>
    <t>µg/m³</t>
  </si>
  <si>
    <t>2,88</t>
  </si>
  <si>
    <t>0 – 13,07</t>
  </si>
  <si>
    <t>Se excluyen sensores interiores y valores &gt; 500 µg/m³</t>
  </si>
  <si>
    <t>pm10</t>
  </si>
  <si>
    <t>sensordatavalues[value_type=P1]</t>
  </si>
  <si>
    <t>6,63</t>
  </si>
  <si>
    <t>0 – 14,13</t>
  </si>
  <si>
    <t>Se excluyen sensores interiores</t>
  </si>
  <si>
    <t>temperatura</t>
  </si>
  <si>
    <t>sensordatavalues[value_type=temperature]</t>
  </si>
  <si>
    <t>°C</t>
  </si>
  <si>
    <t>14,46</t>
  </si>
  <si>
    <t>-149,88 – 20,54</t>
  </si>
  <si>
    <t>humedad</t>
  </si>
  <si>
    <t>sensordatavalues[value_type=humidity]</t>
  </si>
  <si>
    <t>64,18</t>
  </si>
  <si>
    <t>39,96 – 102,31</t>
  </si>
  <si>
    <t>timestamp</t>
  </si>
  <si>
    <t>timestamp de la medición</t>
  </si>
  <si>
    <t>UTC</t>
  </si>
  <si>
    <t>2026-09-29 22:27:58</t>
  </si>
  <si>
    <t>2026-09-29 22:23:02 – 2026-09-29 22:27:59</t>
  </si>
  <si>
    <t>Se conserva la marca más reciente del sensor</t>
  </si>
  <si>
    <t>silver/budapest.sqlite · sc_historico</t>
  </si>
  <si>
    <t>Hora de la ingesta</t>
  </si>
  <si>
    <t>2026-09-29T22:28:00Z</t>
  </si>
  <si>
    <t>Una fila por ejecución</t>
  </si>
  <si>
    <t>¿Cómo cambia el PM2.5 ciudadano entre instantáneas?</t>
  </si>
  <si>
    <t>silver/budapest.sqlite · osem_sensores</t>
  </si>
  <si>
    <t>box_id</t>
  </si>
  <si>
    <t>_id</t>
  </si>
  <si>
    <t>Id de la senseBox</t>
  </si>
  <si>
    <t>5e22cd727993c4001bf78681</t>
  </si>
  <si>
    <t>Texto (175 valores distintos)</t>
  </si>
  <si>
    <t>¿Qué miden las senseBoxes activas de Budapest y qué tan al día están?</t>
  </si>
  <si>
    <t>box_nombre</t>
  </si>
  <si>
    <t>name</t>
  </si>
  <si>
    <t>Angol street</t>
  </si>
  <si>
    <t>Texto (170 valores distintos)</t>
  </si>
  <si>
    <t>Texto libre del dueño: se guarda en silver pero no se publica en el sitio</t>
  </si>
  <si>
    <t>sensors[]._id</t>
  </si>
  <si>
    <t>Id del sensor</t>
  </si>
  <si>
    <t>5e22cd727993c4001bf78685</t>
  </si>
  <si>
    <t>Texto (1 004 valores distintos)</t>
  </si>
  <si>
    <t>fenomeno</t>
  </si>
  <si>
    <t>sensors[].title</t>
  </si>
  <si>
    <t>Texto (66 valores distintos)</t>
  </si>
  <si>
    <t>fenomeno_norm</t>
  </si>
  <si>
    <t>— (title)</t>
  </si>
  <si>
    <t>humedad, otro, pm10, pm25, presion, temperatura</t>
  </si>
  <si>
    <t>Normalizado a pm25, pm10, temperatura, humedad, presion u otro</t>
  </si>
  <si>
    <t>sensors[].unit</t>
  </si>
  <si>
    <t>Texto (24 valores distintos)</t>
  </si>
  <si>
    <t>sensors[].sensorType</t>
  </si>
  <si>
    <t>SDS 011</t>
  </si>
  <si>
    <t>Texto (38 valores distintos)</t>
  </si>
  <si>
    <t>sensors[].lastMeasurement.value</t>
  </si>
  <si>
    <t>5,35</t>
  </si>
  <si>
    <t>-999,999 – 150 507,75</t>
  </si>
  <si>
    <t>sensors[].lastMeasurement.createdAt</t>
  </si>
  <si>
    <t>lastMeasurement.createdAt</t>
  </si>
  <si>
    <t>2026-09-29T22:33:44.216Z</t>
  </si>
  <si>
    <t>2025-06-19T13:25:17.198Z – 2026-09-29T22:43:10.063Z</t>
  </si>
  <si>
    <t>currentLocation.coordinates[1]</t>
  </si>
  <si>
    <t>47,5108</t>
  </si>
  <si>
    <t>10,7893 – 48,9765</t>
  </si>
  <si>
    <t>currentLocation.coordinates[0]</t>
  </si>
  <si>
    <t>19,1229</t>
  </si>
  <si>
    <t>-40,6266 – 106,7084</t>
  </si>
  <si>
    <t>silver/budapest.sqlite · meteo_diario</t>
  </si>
  <si>
    <t>daily.time</t>
  </si>
  <si>
    <t>2026-09-28</t>
  </si>
  <si>
    <t>2000-01-01 – 2026-09-28</t>
  </si>
  <si>
    <t>¿Cuánto se ha calentado Budapest desde 2000 y cuántos días de calor extremo hay al año?</t>
  </si>
  <si>
    <t>tmax</t>
  </si>
  <si>
    <t>daily.temperature_2m_max</t>
  </si>
  <si>
    <t>23,5</t>
  </si>
  <si>
    <t>-11,1 – 39,9</t>
  </si>
  <si>
    <t>tmin</t>
  </si>
  <si>
    <t>daily.temperature_2m_min</t>
  </si>
  <si>
    <t>9,6</t>
  </si>
  <si>
    <t>-21,1 – 26,8</t>
  </si>
  <si>
    <t>tmedia</t>
  </si>
  <si>
    <t>daily.temperature_2m_mean</t>
  </si>
  <si>
    <t>16,4</t>
  </si>
  <si>
    <t>-14,9 – 33,7</t>
  </si>
  <si>
    <t>precipitacion</t>
  </si>
  <si>
    <t>daily.precipitation_sum</t>
  </si>
  <si>
    <t>mm</t>
  </si>
  <si>
    <t>0 – 44,6</t>
  </si>
  <si>
    <t>silver/budapest.sqlite · meteo_horario</t>
  </si>
  <si>
    <t>hora</t>
  </si>
  <si>
    <t>hourly.time</t>
  </si>
  <si>
    <t>local</t>
  </si>
  <si>
    <t>2026-09-28T00:00</t>
  </si>
  <si>
    <t>2026-09-28T00:00 – 2026-10-02T23:00</t>
  </si>
  <si>
    <t>Pronóstico y calidad del aire unidos por hora</t>
  </si>
  <si>
    <t>¿Qué temperatura y calidad del aire se esperan en los próximos días?</t>
  </si>
  <si>
    <t>hourly.temperature_2m</t>
  </si>
  <si>
    <t>17,3</t>
  </si>
  <si>
    <t>11,5 – 25</t>
  </si>
  <si>
    <t>hourly.relative_humidity_2m</t>
  </si>
  <si>
    <t>48</t>
  </si>
  <si>
    <t>22 – 76</t>
  </si>
  <si>
    <t>hourly.precipitation</t>
  </si>
  <si>
    <t>viento</t>
  </si>
  <si>
    <t>hourly.wind_speed_10m</t>
  </si>
  <si>
    <t>km/h</t>
  </si>
  <si>
    <t>0,4 – 10,1</t>
  </si>
  <si>
    <t>hourly.pm2_5 (CAMS)</t>
  </si>
  <si>
    <t>14,3</t>
  </si>
  <si>
    <t>4,8 – 18,4</t>
  </si>
  <si>
    <t>Unido por hora</t>
  </si>
  <si>
    <t>hourly.pm10 (CAMS)</t>
  </si>
  <si>
    <t>24,5</t>
  </si>
  <si>
    <t>6,2 – 24,5</t>
  </si>
  <si>
    <t>no2</t>
  </si>
  <si>
    <t>hourly.nitrogen_dioxide (CAMS)</t>
  </si>
  <si>
    <t>43,6</t>
  </si>
  <si>
    <t>2,7 – 44,1</t>
  </si>
  <si>
    <t>o3</t>
  </si>
  <si>
    <t>hourly.ozone (CAMS)</t>
  </si>
  <si>
    <t>34</t>
  </si>
  <si>
    <t>15 – 91</t>
  </si>
  <si>
    <t>eaqi</t>
  </si>
  <si>
    <t>hourly.european_aqi (CAMS)</t>
  </si>
  <si>
    <t>índice</t>
  </si>
  <si>
    <t>51</t>
  </si>
  <si>
    <t>22 – 51</t>
  </si>
  <si>
    <t>gold/temas/distritos.json · listas.distritos</t>
  </si>
  <si>
    <t>— (derivado en gold)</t>
  </si>
  <si>
    <t>Helységnévtár, lakónépesség al 1 de enero</t>
  </si>
  <si>
    <t>¿En qué se parecen y en qué se diferencian los 23 distritos (atlas y correlaciones)?</t>
  </si>
  <si>
    <t>densidad</t>
  </si>
  <si>
    <t>Densidad de población</t>
  </si>
  <si>
    <t>hab/km²</t>
  </si>
  <si>
    <t>9 142</t>
  </si>
  <si>
    <t>552 – 23 361</t>
  </si>
  <si>
    <t>poblacion / (area_ha_ksh / 100)</t>
  </si>
  <si>
    <t>¿Qué distritos concentran población y vivienda y cuáles pierden habitantes?</t>
  </si>
  <si>
    <t>var_poblacion</t>
  </si>
  <si>
    <t>Variación de población (5 años)</t>
  </si>
  <si>
    <t>-8,71</t>
  </si>
  <si>
    <t>-8,88 – 2,19</t>
  </si>
  <si>
    <t>(pob_año / pob_año−5 − 1) × 100</t>
  </si>
  <si>
    <t>hab_vivienda</t>
  </si>
  <si>
    <t>Habitantes por vivienda</t>
  </si>
  <si>
    <t>hab/viv</t>
  </si>
  <si>
    <t>1,16</t>
  </si>
  <si>
    <t>1,16 – 2,43</t>
  </si>
  <si>
    <t>poblacion / viviendas</t>
  </si>
  <si>
    <t>viviendas_km2</t>
  </si>
  <si>
    <t>Viviendas por km²</t>
  </si>
  <si>
    <t>viv/km²</t>
  </si>
  <si>
    <t>7 873</t>
  </si>
  <si>
    <t>229 – 18 301</t>
  </si>
  <si>
    <t>viviendas / km²</t>
  </si>
  <si>
    <t>paradas_km2</t>
  </si>
  <si>
    <t>Paradas con servicio por km²</t>
  </si>
  <si>
    <t>paradas/km²</t>
  </si>
  <si>
    <t>29,73</t>
  </si>
  <si>
    <t>2,65 – 32,35</t>
  </si>
  <si>
    <t>paradas (location_type 0) con ≥1 salida el día de referencia / km²</t>
  </si>
  <si>
    <t>¿Qué distritos tienen peor acceso a transporte público y bicicleta?</t>
  </si>
  <si>
    <t>salidas_1000</t>
  </si>
  <si>
    <t>Salidas de transporte público por 1.000 hab</t>
  </si>
  <si>
    <t>921</t>
  </si>
  <si>
    <t>239 – 921</t>
  </si>
  <si>
    <t>Σ stop_times del día laborable de referencia / población × 1.000</t>
  </si>
  <si>
    <t>guiado_pct</t>
  </si>
  <si>
    <t>Paradas servidas por modo guiado</t>
  </si>
  <si>
    <t>54,5</t>
  </si>
  <si>
    <t>0 – 76,6</t>
  </si>
  <si>
    <t>paradas con metro, tranvía, trolebús o HÉV / paradas con servicio</t>
  </si>
  <si>
    <t>bubi_km2</t>
  </si>
  <si>
    <t>Estaciones MOL Bubi por km²</t>
  </si>
  <si>
    <t>est/km²</t>
  </si>
  <si>
    <t>7,34</t>
  </si>
  <si>
    <t>0 – 8,4</t>
  </si>
  <si>
    <t>educacion_10k</t>
  </si>
  <si>
    <t>Centros educativos por 10.000 hab</t>
  </si>
  <si>
    <t>centros</t>
  </si>
  <si>
    <t>16,5</t>
  </si>
  <si>
    <t>3,6 – 16,5</t>
  </si>
  <si>
    <t>POI categoría educacion / población × 10.000</t>
  </si>
  <si>
    <t>¿Qué distritos tienen menos equipamientos de educación, salud, cultura y comercio por habitante?</t>
  </si>
  <si>
    <t>salud_10k</t>
  </si>
  <si>
    <t>Equipamientos de salud por 10.000 hab</t>
  </si>
  <si>
    <t>equip.</t>
  </si>
  <si>
    <t>3,1 – 17,3</t>
  </si>
  <si>
    <t>POI categoría salud / población × 10.000</t>
  </si>
  <si>
    <t>cultura_km2</t>
  </si>
  <si>
    <t>Cultura y turismo por km²</t>
  </si>
  <si>
    <t>POI/km²</t>
  </si>
  <si>
    <t>33,98</t>
  </si>
  <si>
    <t>0,1 – 33,98</t>
  </si>
  <si>
    <t>POI cultura + turismo / km²</t>
  </si>
  <si>
    <t>comercio_10k</t>
  </si>
  <si>
    <t>Comercio de proximidad por 10.000 hab</t>
  </si>
  <si>
    <t>tiendas</t>
  </si>
  <si>
    <t>16</t>
  </si>
  <si>
    <t>4,7 – 16,7</t>
  </si>
  <si>
    <t>POI categoría comercio / población × 10.000</t>
  </si>
  <si>
    <t>gastronomia_km2</t>
  </si>
  <si>
    <t>Gastronomía por km²</t>
  </si>
  <si>
    <t>locales/km²</t>
  </si>
  <si>
    <t>227</t>
  </si>
  <si>
    <t>0,8 – 254,5</t>
  </si>
  <si>
    <t>POI categoría gastronomia / km²</t>
  </si>
  <si>
    <t>alojamiento</t>
  </si>
  <si>
    <t>Alojamientos turísticos (OSM)</t>
  </si>
  <si>
    <t>establec.</t>
  </si>
  <si>
    <t>80</t>
  </si>
  <si>
    <t>1 – 80</t>
  </si>
  <si>
    <t>POI categoría alojamiento</t>
  </si>
  <si>
    <t>arbolado</t>
  </si>
  <si>
    <t>Cobertura arbórea media</t>
  </si>
  <si>
    <t>0,6</t>
  </si>
  <si>
    <t>0,6 – 52,4</t>
  </si>
  <si>
    <t>Media de Tree Cover Density 2018 (0–100) en el polígono</t>
  </si>
  <si>
    <t>¿Qué distritos tienen más suelo sellado y menos arbolado?</t>
  </si>
  <si>
    <t>verde_10k</t>
  </si>
  <si>
    <t>Parques y jardines por 10.000 hab</t>
  </si>
  <si>
    <t>espacios</t>
  </si>
  <si>
    <t>13,1</t>
  </si>
  <si>
    <t>3,7 – 32,9</t>
  </si>
  <si>
    <t>POI leisure=park|garden|nature_reserve / población × 10.000</t>
  </si>
  <si>
    <t>sellado</t>
  </si>
  <si>
    <t>Suelo sellado medio</t>
  </si>
  <si>
    <t>68,6</t>
  </si>
  <si>
    <t>10,6 – 84,7</t>
  </si>
  <si>
    <t>Media de Imperviousness Density 2018 (0–100)</t>
  </si>
  <si>
    <t>sellado_alto</t>
  </si>
  <si>
    <t>Superficie muy sellada (≥80 %)</t>
  </si>
  <si>
    <t>% sup.</t>
  </si>
  <si>
    <t>62,6</t>
  </si>
  <si>
    <t>1,8 – 74,2</t>
  </si>
  <si>
    <t>Píxeles con IMD ≥ 80 / píxeles válidos</t>
  </si>
  <si>
    <t>edificios_km2</t>
  </si>
  <si>
    <t>Edificios OSM por km²</t>
  </si>
  <si>
    <t>edif./km²</t>
  </si>
  <si>
    <t>415</t>
  </si>
  <si>
    <t>172 – 821</t>
  </si>
  <si>
    <t>building=* (vías + relaciones) / km²</t>
  </si>
  <si>
    <t>pm25_sensores</t>
  </si>
  <si>
    <t>2,5 (distrito II)</t>
  </si>
  <si>
    <t>0,5 – 5,4</t>
  </si>
  <si>
    <t>¿Cómo está el aire en cada distrito según los sensores ciudadanos?</t>
  </si>
  <si>
    <t>score_movilidad</t>
  </si>
  <si>
    <t>Puntaje 0–100 de la dimensión «Movilidad» (oferta de transporte público y bicicleta)</t>
  </si>
  <si>
    <t>puntos (0–100)</t>
  </si>
  <si>
    <t>87,4</t>
  </si>
  <si>
    <t>10,2 – 87,4</t>
  </si>
  <si>
    <t>Promedio de paradas_km2, salidas_1000, guiado_pct, bubi_km2 normalizadas min–max entre los 23 distritos (invertidas cuando menos es mejor)</t>
  </si>
  <si>
    <t>score_servicios</t>
  </si>
  <si>
    <t>Puntaje 0–100 de la dimensión «Servicios» (educación, salud, cultura y comercio de proximidad)</t>
  </si>
  <si>
    <t>98,5</t>
  </si>
  <si>
    <t>5,2 – 98,5</t>
  </si>
  <si>
    <t>Promedio de educacion_10k, salud_10k, cultura_km2, comercio_10k normalizadas min–max entre los 23 distritos (invertidas cuando menos es mejor)</t>
  </si>
  <si>
    <t>score_verde</t>
  </si>
  <si>
    <t>Puntaje 0–100 de la dimensión «Verde» (arbolado, parques y suelo no sellado)</t>
  </si>
  <si>
    <t>18</t>
  </si>
  <si>
    <t>0,1 – 75,2</t>
  </si>
  <si>
    <t>Promedio de arbolado, verde_10k, sellado normalizadas min–max entre los 23 distritos (invertidas cuando menos es mejor)</t>
  </si>
  <si>
    <t>score_vivienda</t>
  </si>
  <si>
    <t>Puntaje 0–100 de la dimensión «Vivienda y densidad» (intensidad residencial y dinámica demográfica)</t>
  </si>
  <si>
    <t>27,2</t>
  </si>
  <si>
    <t>8 – 78,2</t>
  </si>
  <si>
    <t>Promedio de densidad, var_poblacion, viviendas_km2 normalizadas min–max entre los 23 distritos (invertidas cuando menos es mejor)</t>
  </si>
  <si>
    <t>score_ambiente</t>
  </si>
  <si>
    <t>59,2 (distrito II)</t>
  </si>
  <si>
    <t>0 – 100</t>
  </si>
  <si>
    <t>Promedio de pm25_sensores normalizadas min–max entre los 23 distritos (invertidas cuando menos es mejor)</t>
  </si>
  <si>
    <t>3. Bitácora de la búsqueda con IA</t>
  </si>
  <si>
    <t>Qué le encargaron a la IA y qué pasó con lo que respondió. Incluyan los errores: valen tanto como los aciertos.</t>
  </si>
  <si>
    <t>#</t>
  </si>
  <si>
    <t>Herramienta de IA</t>
  </si>
  <si>
    <t>Qué le encargaron</t>
  </si>
  <si>
    <t>Qué respondió (resumen)</t>
  </si>
  <si>
    <t>Cómo lo comprobaron</t>
  </si>
  <si>
    <t>Resultado</t>
  </si>
  <si>
    <t>ID fuente que salió de ahí</t>
  </si>
  <si>
    <t>Qué aprendieron</t>
  </si>
  <si>
    <t>Parcial</t>
  </si>
  <si>
    <t>2</t>
  </si>
  <si>
    <t>Gemini</t>
  </si>
  <si>
    <t>Encontrar fuentes de datos geoespaciales y de infraestructura urbana en Budapest sin restricciones de uso complejas.</t>
  </si>
  <si>
    <t>Propuso consultas personalizadas en OpenStreetMap a través de Overpass y la descarga directa de cartografía vectorial por país.</t>
  </si>
  <si>
    <t>Se hicieron peticiones directas en el entorno interactivo y se descargaron los archivos .osm.pbf para validar su integridad y estructura.</t>
  </si>
  <si>
    <t>Correcto</t>
  </si>
  <si>
    <t>F02, F03</t>
  </si>
  <si>
    <t>Que herramientas como Overpass permiten consultar datos específicos al instante, mientras que Geofabrik es ideal para descargas masivas de regiones completas.</t>
  </si>
  <si>
    <t>Identificar fuentes oficiales de movilidad, transporte público y datos de tráfico en tiempo real para Budapest.</t>
  </si>
  <si>
    <t>Sugirió el portal de datos abiertos de la compañía de transporte de Budapest (BKK) y los repositorios estandarizados de movilidad en formato GTFS.</t>
  </si>
  <si>
    <t>Que el transporte público de Budapest ofrece datos abiertos estructurados, aunque es clave verificar si los feeds GTFS se actualizan de forma constante.</t>
  </si>
  <si>
    <t>Localizar portales estadísticos gubernamentales y fuentes socioeconómicas oficiales de Hungría.</t>
  </si>
  <si>
    <t>Recomendó la Oficina Central de Estadística de Hungría (KSH), destacando tanto su portal principal en inglés como su documentación OpenAPI.</t>
  </si>
  <si>
    <t>Se ingresó al sitio oficial de la KSH y se realizaron peticiones de prueba a su interfaz de programación y catálogo de datos.</t>
  </si>
  <si>
    <t>F08, F09</t>
  </si>
  <si>
    <t>Que las oficinas nacionales de estadística suelen contar con APIs documentadas, facilitando la extracción automatizada de indicadores demográficos y económicos.</t>
  </si>
  <si>
    <t>Buscar fuentes de observación terrestre, geomática y cubiertas de suelo a nivel europeo aplicadas a Budapest.</t>
  </si>
  <si>
    <t>Propuso el portal de monitorización territorial y ambiental de la Unión Europea (Copernicus).</t>
  </si>
  <si>
    <t>Se exploraron los catálogos geoespaciales y se revisaron los metadatos de las capas ráster disponibles para la región de Hungría.</t>
  </si>
  <si>
    <t>Que la información satelital europea proporciona capas estandarizadas muy potentes, pero requiere comprender formatos geográficos avanzados.</t>
  </si>
  <si>
    <t>6</t>
  </si>
  <si>
    <t>Encontrar fuentes de calidad del aire y sensores ciudadanos descentralizados en Budapest.</t>
  </si>
  <si>
    <t>Sugirió plataformas de ciencia ciudadana y monitoreo ambiental abierto como Sensor.Community, OpenSenseMap y los reportes oficiales de la EEA.</t>
  </si>
  <si>
    <t>Se navegaron los mapas interactivos de las redes ciudadanas para verificar la densidad y actividad real de los sensores instalados en la capital húngara.</t>
  </si>
  <si>
    <t>F11, F12, F13</t>
  </si>
  <si>
    <t>Que las redes de sensores ciudadanos ofrecen gran cobertura espacial en tiempo real, aunque la calidad y calibración de los datos pueden requerir validación cruzada.</t>
  </si>
  <si>
    <t>Identificar APIs meteorológicas y climáticas de acceso libre y sin fricción para modelados en Budapest.</t>
  </si>
  <si>
    <t>Propuso Open-Meteo como una alternativa de API abierta y gratuita para datos históricos y pronósticos del tiempo.</t>
  </si>
  <si>
    <t>Se ejecutó una consulta de prueba vía HTTP para verificar la respuesta en JSON y confirmar que no exigía una clave de API obligatoria.</t>
  </si>
  <si>
    <t>Que existen APIs meteorológicas públicas robustas que simplifican el desarrollo de proyectos sin depender de registros complejos o pasarelas de pago.</t>
  </si>
  <si>
    <t>8</t>
  </si>
  <si>
    <t>Localizar bases de datos macroeconómicas y regionales a escala de la Unión Europea que incluyan a Budapest.</t>
  </si>
  <si>
    <t>Señaló la base de datos estadística oficial de la Unión Europea (Eurostat).</t>
  </si>
  <si>
    <t>Se buscó dentro del árbol de temas socioeconómicos y regionales de Eurostat para filtrar los conjuntos de datos específicos de Hungría.</t>
  </si>
  <si>
    <t>Que los repositorios supranacionales permiten comparar métricas locales con el promedio europeo bajo un mismo estándar metodológico.</t>
  </si>
  <si>
    <t>Resumen del lago</t>
  </si>
  <si>
    <t>Se calcula solo desde las otras hojas; no cuenta las filas de ejemplo (fila 4).</t>
  </si>
  <si>
    <t>Fuentes registradas</t>
  </si>
  <si>
    <t xml:space="preserve">  · integradas al lago</t>
  </si>
  <si>
    <t xml:space="preserve">  · candidatas</t>
  </si>
  <si>
    <t xml:space="preserve">  · que no responden</t>
  </si>
  <si>
    <t xml:space="preserve">  · que no existen (inventadas por la IA)</t>
  </si>
  <si>
    <t xml:space="preserve">  · descartadas</t>
  </si>
  <si>
    <t>Fuentes con licencia «no declara» o vacía</t>
  </si>
  <si>
    <t>Fuentes con personas identificables o texto libre</t>
  </si>
  <si>
    <t>Campos en el diccionario</t>
  </si>
  <si>
    <t xml:space="preserve">  · clasificados como sensibles o dato personal</t>
  </si>
  <si>
    <t xml:space="preserve">  · sin pregunta del sistema asociada</t>
  </si>
  <si>
    <t>Encargos a la IA registrados</t>
  </si>
  <si>
    <t xml:space="preserve">  · con respuesta incorrecta o inventada</t>
  </si>
  <si>
    <t>Porcentaje de aciertos plenos de la IA</t>
  </si>
  <si>
    <t>Portal: https://overpass-turbo.eu/. Tres consultas: límites, 16 970 POI en 12 categorías y 259 491 edificios. Control: el área OSM suma 522,8 km² frente a 525,1 km² oficiales de KSH (−0,4 %). Aporta también las 220 estaciones de la red MOL Bubi (amenity=bicycle_rental con network/brand «MOL Bubi»), porque F07 es candidata; se excluyen 8 tiendas privadas de alquiler.</t>
  </si>
  <si>
    <t>Candidata</t>
  </si>
  <si>
    <t>El enlace entregado (bubi.freewb.hu, F15) no respondió; el feed lo propuso Claude Code (bitácora #10)</t>
  </si>
  <si>
    <t>Candidata, no integrada: el feed responde pero no publica estaciones (lista de ciudades vacía), solo la flota objetivo de 2 472 bicicletas. Se guarda en bronze en cada ejecución para detectar cuándo vuelve a publicarlas; mientras tanto no escribe nada en silver. Las 220 estaciones de la red MOL Bubi salen de OSM (F02). Ver F15 y F18.</t>
  </si>
  <si>
    <t>Portal: https://sensor.community/en/. 190 sensores exteriores, 46 de partículas dentro de Budapest. Todos sus valores se marcan como «bajo costo» en el lago y en el sitio: sensores ópticos sin calibración oficial que sobreestiman con humedad alta. Las ubicaciones se publican redondeadas a ~110 m.</t>
  </si>
  <si>
    <t>Portal: https://opensensemap.org/. 175 cajas, 44 con datos en los últimos 7 días. Los nombres de las cajas son texto libre de sus dueños: no se publican en el sitio. Sus valores se marcan como «bajo costo» en el lago y en el sitio.</t>
  </si>
  <si>
    <t>Sugerida por Gemini (bitácora #6); acceso SQL encontrado por Claude Code (bitácora #14)</t>
  </si>
  <si>
    <t>Portal: https://open-meteo.com/. Son datos de modelo (reanálisis y CAMS ~10 km), no mediciones: se marcan como «modelo» en el lago, el diccionario y el sitio (también el clima en vivo de la cabecera). El navegador del sitio también consulta el clima actual en vivo.</t>
  </si>
  <si>
    <t>F18</t>
  </si>
  <si>
    <t>GBFS de MOL Bubi en nextbike (station_information / station_status)</t>
  </si>
  <si>
    <t>nextbike GmbH</t>
  </si>
  <si>
    <t>https://gbfs.nextbike.net/maps/gbfs/v2/nextbike_bh/gbfs.json</t>
  </si>
  <si>
    <t>No aplica</t>
  </si>
  <si>
    <t>No existe (la inventó la IA)</t>
  </si>
  <si>
    <t>Propuesta por Claude Code (bitácora #10)</t>
  </si>
  <si>
    <t>URL construida por la IA con el patrón GBFS de nextbike. Probada el 2026-09-29: HTTP 404 Not Found.</t>
  </si>
  <si>
    <t>red</t>
  </si>
  <si>
    <t>tags.network (o tags.brand)</t>
  </si>
  <si>
    <t>Red u operador del elemento, p. ej. «MOL Bubi»</t>
  </si>
  <si>
    <t>MOL Bubi</t>
  </si>
  <si>
    <t>Texto (212 valores distintos)</t>
  </si>
  <si>
    <t>Se toma network; si falta, brand</t>
  </si>
  <si>
    <t>¿Qué estaciones de alquiler pertenecen a la red pública MOL Bubi?</t>
  </si>
  <si>
    <t>id (nodo OSM amenity=bicycle_rental)</t>
  </si>
  <si>
    <t>Id OSM de la estación (o uid nextbike si el feed vuelve a publicarlas)</t>
  </si>
  <si>
    <t>2 743 702 741</t>
  </si>
  <si>
    <t>496 991 433 – 12 920 556 909</t>
  </si>
  <si>
    <t>Mientras F07 sea candidata se usa el id OSM</t>
  </si>
  <si>
    <t>Nombre de la estación</t>
  </si>
  <si>
    <t>Bródy Sándor utca - Horánszky utca</t>
  </si>
  <si>
    <t>Bródy Sándor utca - Horánszky utca, Déli pályaudvar, Andrássy út - Káldy Gyula utca, Podmaniczky tér, Kiscelli utca – Zápor utca, Pázmány Péter sétány - Északi tömb, Bertalan Lajos utca - Műegyetem rakpart, Hunyadi tér</t>
  </si>
  <si>
    <t>Sin cambio (en OSM casi siempre vacío)</t>
  </si>
  <si>
    <t>Latitud de la estación</t>
  </si>
  <si>
    <t>47,4732</t>
  </si>
  <si>
    <t>Longitud de la estación</t>
  </si>
  <si>
    <t>19,0526</t>
  </si>
  <si>
    <t>origen</t>
  </si>
  <si>
    <t>De dónde sale la estación: osm (OSM, red MOL Bubi) o nextbike_vivo (feed del operador)</t>
  </si>
  <si>
    <t>osm</t>
  </si>
  <si>
    <t>osm mientras F07 sea candidata; nextbike_vivo cuando el feed vuelva a publicar estaciones</t>
  </si>
  <si>
    <t>Distrito de la estación</t>
  </si>
  <si>
    <t>11</t>
  </si>
  <si>
    <t>Asignado por punto en polígono contra los límites OSM de los 23 distritos (F02)</t>
  </si>
  <si>
    <t>Bajo costo: concentración de PM2.5 medida por el sensor ciudadano (promedio de 5 minutos)</t>
  </si>
  <si>
    <t>Bajo costo: concentración de PM10 medida por el sensor ciudadano (promedio de 5 minutos)</t>
  </si>
  <si>
    <t>Bajo costo: temperatura del aire registrada por el sensor ciudadano</t>
  </si>
  <si>
    <t>Bajo costo: humedad relativa registrada por el sensor ciudadano</t>
  </si>
  <si>
    <t>Bajo costo: fenómeno que mide el sensor de la senseBox, con el título que le dio su dueño</t>
  </si>
  <si>
    <t>Bajo costo: fenómeno normalizado del sensor (pm25, pm10, temperatura, humedad, presión u otro)</t>
  </si>
  <si>
    <t>Bajo costo: unidad en que el sensor reporta su valor</t>
  </si>
  <si>
    <t>Bajo costo: modelo del sensor instalado en la senseBox (p. ej. SDS 011)</t>
  </si>
  <si>
    <t>Bajo costo: último valor medido por el sensor de la senseBox</t>
  </si>
  <si>
    <t>Modelo: día del reanálisis ERA5</t>
  </si>
  <si>
    <t>Modelo: temperatura máxima diaria a 2 m según el reanálisis ERA5</t>
  </si>
  <si>
    <t>Modelo: temperatura mínima diaria a 2 m según el reanálisis ERA5</t>
  </si>
  <si>
    <t>Modelo: temperatura media diaria a 2 m según el reanálisis ERA5</t>
  </si>
  <si>
    <t>Modelo: precipitación diaria acumulada según el reanálisis ERA5</t>
  </si>
  <si>
    <t>Modelo: hora local del pronóstico y de la previsión de calidad del aire</t>
  </si>
  <si>
    <t>Modelo: temperatura a 2 m del pronóstico de Open-Meteo</t>
  </si>
  <si>
    <t>Modelo: humedad relativa a 2 m del pronóstico de Open-Meteo</t>
  </si>
  <si>
    <t>Modelo: precipitación horaria del pronóstico de Open-Meteo</t>
  </si>
  <si>
    <t>Modelo: velocidad del viento a 10 m del pronóstico de Open-Meteo</t>
  </si>
  <si>
    <t>Modelo: concentración de PM2.5 prevista por CAMS Europa (~10 km)</t>
  </si>
  <si>
    <t>Modelo: concentración de PM10 prevista por CAMS Europa (~10 km)</t>
  </si>
  <si>
    <t>Modelo: concentración de NO₂ prevista por CAMS Europa (~10 km)</t>
  </si>
  <si>
    <t>Modelo: concentración de ozono prevista por CAMS Europa (~10 km)</t>
  </si>
  <si>
    <t>Modelo: índice europeo de calidad del aire calculado sobre la previsión CAMS</t>
  </si>
  <si>
    <t>estaciones OSM amenity=bicycle_rental de la red MOL Bubi / km²</t>
  </si>
  <si>
    <t>Bajo costo: PM2.5 ciudadano (mediana de sensores del distrito)</t>
  </si>
  <si>
    <t>Mediana de sensores ciudadanos exteriores de bajo costo del distrito en la instantánea (mínimo 2)</t>
  </si>
  <si>
    <t>Bajo costo: puntaje 0–100 de la dimensión «Aire» (sensores ciudadanos de bajo costo, instantánea)</t>
  </si>
  <si>
    <t>Se revisó el catálogo web de la BKK y se consultó el identificador del feed de transporte público en Mobility Database. Al probar los enlaces de esa respuesta: el tiempo real de BKK exige registro y clave (F16) y el enlace de Bubi que traía la lista (bubi.freewb.hu, F15) no responde.</t>
  </si>
  <si>
    <t>F05, F06, F07, F15, F16</t>
  </si>
  <si>
    <t>9</t>
  </si>
  <si>
    <t>Registrar la licencia de cada una de las 12 fuentes al configurar el lago.</t>
  </si>
  <si>
    <t>Escribió las licencias de memoria: ODbL 1.0 para Sensor.Community, CC0 para Mobility Database, «Licencia de datos abiertos BKK», «Reutilización libre citando la fuente» para KSH y «Datos públicos del operador» para MOL Bubi.</t>
  </si>
  <si>
    <t>Copiamos cada licencia desde la página del publicador: Sensor.Community declara DbCL 1.0, MobilityData Apache 2.0, BKK CC BY 4.0, el RDF de KSH CC BY 4.0 y el feed de MOL Bubi no declara ninguna. 5 de 12 no coincidían. El error está en el primer commit del repositorio (pipelines/config.py).</t>
  </si>
  <si>
    <t>Incorrecto</t>
  </si>
  <si>
    <t>F05, F06, F07, F09, F11</t>
  </si>
  <si>
    <t>La IA rellena la licencia con lo que suena probable. La licencia solo se copia de la página de la fuente, nunca de la IA.</t>
  </si>
  <si>
    <t>10</t>
  </si>
  <si>
    <t>Encontrar un feed con las estaciones de MOL Bubi y su disponibilidad.</t>
  </si>
  <si>
    <t>Propuso una URL GBFS de nextbike para Budapest y el feed nextbike-live del dominio bh.</t>
  </si>
  <si>
    <t>Petición HTTP el 2026-09-29: la URL GBFS devolvió 404 (no existe). El feed nextbike-live responde 200, pero con la lista de estaciones vacía.</t>
  </si>
  <si>
    <t>Inventado</t>
  </si>
  <si>
    <t>F18, F07</t>
  </si>
  <si>
    <t>Una URL con el formato correcto puede no existir: cada enlace que da la IA se prueba antes de anotarlo.</t>
  </si>
  <si>
    <t>Contar las estaciones de MOL Bubi a partir de OpenStreetMap.</t>
  </si>
  <si>
    <t>Tomó todos los puntos amenity=bicycle_rental de Budapest y reportó 228 estaciones de MOL Bubi.</t>
  </si>
  <si>
    <t>Revisamos las etiquetas network y brand en la respuesta cruda de Overpass: 220 son de la red MOL Bubi y 8 son tiendas privadas de alquiler (p. ej. «Amigo Shop Budapest Bike Rental»). Se corrigió el filtro.</t>
  </si>
  <si>
    <t>F02, F07</t>
  </si>
  <si>
    <t>Una cifra de la IA se contrasta con una segunda etiqueta o fuente antes de publicarla.</t>
  </si>
  <si>
    <t>12</t>
  </si>
  <si>
    <t>Calcular la media anual de PM2.5 de las estaciones oficiales en 2025.</t>
  </si>
  <si>
    <t>Publicó 13,7 µg/m³ como «media anual de las estaciones oficiales».</t>
  </si>
  <si>
    <t>Consultamos eea_estadisticas: en 2025 solo 1 de las 2 estaciones de PM2.5 superó el 75 % de cobertura (Budapest Gilice); la otra tuvo 51 %. No era una media. El sitio ahora dice cuántas estaciones promedia cada cifra.</t>
  </si>
  <si>
    <t>Detrás de una media hay que mirar cuántos datos hay: una «media» de una sola estación engaña.</t>
  </si>
  <si>
    <t>13</t>
  </si>
  <si>
    <t>Calcular el suelo sellado y el arbolado de cada distrito con las capas de Copernicus.</t>
  </si>
  <si>
    <t>Escribió el código de estadística zonal contra el servidor de imágenes de la EEA.</t>
  </si>
  <si>
    <t>La primera ejecución devolvió estadísticas vacías para los 23 distritos (0 filas en silver): el código colapsaba los polígonos al simplificarlos. Corregido, los valores son coherentes (VII 85 % sellado, XII 52 % de arbolado).</t>
  </si>
  <si>
    <t>Un resultado vacío también es un error: se investiga, no se rellena ni se ignora.</t>
  </si>
  <si>
    <t>14</t>
  </si>
  <si>
    <t>Obtener las mediciones oficiales de calidad del aire de la EEA para Budapest.</t>
  </si>
  <si>
    <t>El enlace aqereporting-9 es la ficha del dataset; propuso la API SQL de DiscoData sobre la tabla AirQualityStatistics y armó la consulta.</t>
  </si>
  <si>
    <t>La consulta devolvió 813 estadísticas anuales de 15 estaciones (1997–2026) en JSON; guardamos la respuesta cruda en bronze y comprobamos que las 15 estaciones caen dentro de los distritos.</t>
  </si>
  <si>
    <t>El enlace de una ficha no siempre es la puerta de los datos: conviene preguntar por todas las vías de acceso.</t>
  </si>
  <si>
    <t xml:space="preserve">Claude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</si>
</sst>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9"/>
      <color rgb="FF555555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F1F1F"/>
      </patternFill>
    </fill>
    <fill>
      <patternFill patternType="solid">
        <fgColor rgb="FFFFF7C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0" fontId="10" fillId="0" borderId="0" xfId="0" applyFont="1"/>
    <xf numFmtId="0" fontId="9" fillId="0" borderId="1" xfId="0" applyFont="1" applyBorder="1"/>
    <xf numFmtId="0" fontId="9" fillId="0" borderId="0" xfId="0" applyFont="1"/>
    <xf numFmtId="9" fontId="9" fillId="0" borderId="1" xfId="0" applyNumberFormat="1" applyFont="1" applyBorder="1"/>
    <xf numFmtId="0" fontId="11" fillId="2" borderId="1" xfId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9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colors>
    <mruColors>
      <color rgb="FFFFF7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.discomap.eea.europa.eu/arcgis/rest/services/GioLandPublic/HRL_ImperviousnessDensity_2018/ImageServer/computeStatisticsHistograms" TargetMode="External"/><Relationship Id="rId2" Type="http://schemas.openxmlformats.org/officeDocument/2006/relationships/hyperlink" Target="https://download.geofabrik.de/europe/hungary-updates/state.txt" TargetMode="External"/><Relationship Id="rId1" Type="http://schemas.openxmlformats.org/officeDocument/2006/relationships/hyperlink" Target="https://overpass-api.de/api/interpreter" TargetMode="External"/><Relationship Id="rId4" Type="http://schemas.openxmlformats.org/officeDocument/2006/relationships/hyperlink" Target="https://go.bkk.hu/api/static/v1/public-gtfs/budapest_gtfs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4" customWidth="1"/>
    <col min="2" max="2" width="110" customWidth="1"/>
  </cols>
  <sheetData>
    <row r="1" spans="2:2" ht="17.399999999999999" x14ac:dyDescent="0.3">
      <c r="B1" s="1" t="s">
        <v>0</v>
      </c>
    </row>
    <row r="2" spans="2:2" x14ac:dyDescent="0.3">
      <c r="B2" s="2" t="s">
        <v>1</v>
      </c>
    </row>
    <row r="3" spans="2:2" x14ac:dyDescent="0.3">
      <c r="B3" s="3"/>
    </row>
    <row r="4" spans="2:2" x14ac:dyDescent="0.3">
      <c r="B4" s="4" t="s">
        <v>2</v>
      </c>
    </row>
    <row r="5" spans="2:2" x14ac:dyDescent="0.3">
      <c r="B5" s="5" t="s">
        <v>3</v>
      </c>
    </row>
    <row r="6" spans="2:2" x14ac:dyDescent="0.3">
      <c r="B6" s="5" t="s">
        <v>4</v>
      </c>
    </row>
    <row r="7" spans="2:2" x14ac:dyDescent="0.3">
      <c r="B7" s="5" t="s">
        <v>5</v>
      </c>
    </row>
    <row r="8" spans="2:2" x14ac:dyDescent="0.3">
      <c r="B8" s="3"/>
    </row>
    <row r="9" spans="2:2" x14ac:dyDescent="0.3">
      <c r="B9" s="4" t="s">
        <v>6</v>
      </c>
    </row>
    <row r="10" spans="2:2" ht="27" x14ac:dyDescent="0.3">
      <c r="B10" s="3" t="s">
        <v>7</v>
      </c>
    </row>
    <row r="11" spans="2:2" x14ac:dyDescent="0.3">
      <c r="B11" s="3" t="s">
        <v>8</v>
      </c>
    </row>
    <row r="12" spans="2:2" x14ac:dyDescent="0.3">
      <c r="B12" s="3" t="s">
        <v>9</v>
      </c>
    </row>
    <row r="13" spans="2:2" x14ac:dyDescent="0.3">
      <c r="B13" s="3" t="s">
        <v>10</v>
      </c>
    </row>
    <row r="14" spans="2:2" x14ac:dyDescent="0.3">
      <c r="B14" s="3"/>
    </row>
    <row r="15" spans="2:2" x14ac:dyDescent="0.3">
      <c r="B15" s="4" t="s">
        <v>11</v>
      </c>
    </row>
    <row r="16" spans="2:2" ht="27" x14ac:dyDescent="0.3">
      <c r="B16" s="3" t="s">
        <v>12</v>
      </c>
    </row>
    <row r="17" spans="2:2" x14ac:dyDescent="0.3">
      <c r="B17" s="3" t="s">
        <v>13</v>
      </c>
    </row>
    <row r="18" spans="2:2" x14ac:dyDescent="0.3">
      <c r="B18" s="3" t="s">
        <v>14</v>
      </c>
    </row>
    <row r="19" spans="2:2" x14ac:dyDescent="0.3">
      <c r="B19" s="3" t="s">
        <v>15</v>
      </c>
    </row>
    <row r="20" spans="2:2" x14ac:dyDescent="0.3">
      <c r="B20" s="3" t="s">
        <v>16</v>
      </c>
    </row>
    <row r="21" spans="2:2" x14ac:dyDescent="0.3">
      <c r="B21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>
      <pane xSplit="1" ySplit="3" topLeftCell="E4" activePane="bottomRight" state="frozen"/>
      <selection pane="topRight"/>
      <selection pane="bottomLeft"/>
      <selection pane="bottomRight" activeCell="P18" sqref="P18"/>
    </sheetView>
  </sheetViews>
  <sheetFormatPr baseColWidth="10" defaultColWidth="8.88671875" defaultRowHeight="14.4" x14ac:dyDescent="0.3"/>
  <cols>
    <col min="1" max="1" width="9" style="17" customWidth="1"/>
    <col min="2" max="2" width="28" style="17" customWidth="1"/>
    <col min="3" max="3" width="22" style="17" customWidth="1"/>
    <col min="4" max="4" width="18" style="17" customWidth="1"/>
    <col min="5" max="5" width="36" style="17" customWidth="1"/>
    <col min="6" max="6" width="12" style="17" customWidth="1"/>
    <col min="7" max="7" width="18" style="17" customWidth="1"/>
    <col min="8" max="8" width="22" style="17" customWidth="1"/>
    <col min="9" max="9" width="18" style="17" customWidth="1"/>
    <col min="10" max="10" width="16" style="17" customWidth="1"/>
    <col min="11" max="13" width="14" style="17" customWidth="1"/>
    <col min="14" max="14" width="20" style="17" customWidth="1"/>
    <col min="15" max="15" width="26" style="17" customWidth="1"/>
    <col min="16" max="16" width="32" style="17" customWidth="1"/>
    <col min="17" max="16384" width="8.88671875" style="17"/>
  </cols>
  <sheetData>
    <row r="1" spans="1:16" customFormat="1" ht="17.399999999999999" x14ac:dyDescent="0.3">
      <c r="A1" s="6" t="s">
        <v>18</v>
      </c>
    </row>
    <row r="2" spans="1:16" customFormat="1" x14ac:dyDescent="0.3">
      <c r="A2" s="7" t="s">
        <v>19</v>
      </c>
    </row>
    <row r="3" spans="1:16" ht="42" customHeight="1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33</v>
      </c>
      <c r="O3" s="8" t="s">
        <v>34</v>
      </c>
      <c r="P3" s="8" t="s">
        <v>35</v>
      </c>
    </row>
    <row r="4" spans="1:16" ht="145.19999999999999" x14ac:dyDescent="0.3">
      <c r="A4" s="9" t="s">
        <v>36</v>
      </c>
      <c r="B4" s="9" t="s">
        <v>37</v>
      </c>
      <c r="C4" s="9" t="s">
        <v>38</v>
      </c>
      <c r="D4" s="9" t="s">
        <v>39</v>
      </c>
      <c r="E4" s="14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1180</v>
      </c>
    </row>
    <row r="5" spans="1:16" ht="105.6" x14ac:dyDescent="0.3">
      <c r="A5" s="9" t="s">
        <v>51</v>
      </c>
      <c r="B5" s="9" t="s">
        <v>52</v>
      </c>
      <c r="C5" s="9" t="s">
        <v>53</v>
      </c>
      <c r="D5" s="9" t="s">
        <v>54</v>
      </c>
      <c r="E5" s="14" t="s">
        <v>55</v>
      </c>
      <c r="F5" s="9" t="s">
        <v>56</v>
      </c>
      <c r="G5" s="9" t="s">
        <v>57</v>
      </c>
      <c r="H5" s="9" t="s">
        <v>58</v>
      </c>
      <c r="I5" s="9" t="s">
        <v>44</v>
      </c>
      <c r="J5" s="9" t="s">
        <v>59</v>
      </c>
      <c r="K5" s="9" t="s">
        <v>60</v>
      </c>
      <c r="L5" s="9" t="s">
        <v>61</v>
      </c>
      <c r="M5" s="9" t="s">
        <v>48</v>
      </c>
      <c r="N5" s="9" t="s">
        <v>49</v>
      </c>
      <c r="O5" s="9" t="s">
        <v>50</v>
      </c>
      <c r="P5" s="9" t="s">
        <v>62</v>
      </c>
    </row>
    <row r="6" spans="1:16" ht="79.2" x14ac:dyDescent="0.3">
      <c r="A6" s="9" t="s">
        <v>63</v>
      </c>
      <c r="B6" s="9" t="s">
        <v>64</v>
      </c>
      <c r="C6" s="9" t="s">
        <v>65</v>
      </c>
      <c r="D6" s="9" t="s">
        <v>66</v>
      </c>
      <c r="E6" s="14" t="s">
        <v>67</v>
      </c>
      <c r="F6" s="9" t="s">
        <v>41</v>
      </c>
      <c r="G6" s="9" t="s">
        <v>42</v>
      </c>
      <c r="H6" s="9" t="s">
        <v>68</v>
      </c>
      <c r="I6" s="9" t="s">
        <v>44</v>
      </c>
      <c r="J6" s="9" t="s">
        <v>69</v>
      </c>
      <c r="K6" s="9" t="s">
        <v>70</v>
      </c>
      <c r="L6" s="9" t="s">
        <v>71</v>
      </c>
      <c r="M6" s="9" t="s">
        <v>48</v>
      </c>
      <c r="N6" s="9" t="s">
        <v>49</v>
      </c>
      <c r="O6" s="9" t="s">
        <v>72</v>
      </c>
      <c r="P6" s="9" t="s">
        <v>73</v>
      </c>
    </row>
    <row r="7" spans="1:16" ht="105.6" x14ac:dyDescent="0.3">
      <c r="A7" s="9" t="s">
        <v>74</v>
      </c>
      <c r="B7" s="9" t="s">
        <v>75</v>
      </c>
      <c r="C7" s="9" t="s">
        <v>76</v>
      </c>
      <c r="D7" s="9" t="s">
        <v>66</v>
      </c>
      <c r="E7" s="14" t="s">
        <v>77</v>
      </c>
      <c r="F7" s="9" t="s">
        <v>78</v>
      </c>
      <c r="G7" s="9" t="s">
        <v>57</v>
      </c>
      <c r="H7" s="9" t="s">
        <v>79</v>
      </c>
      <c r="I7" s="9" t="s">
        <v>44</v>
      </c>
      <c r="J7" s="9" t="s">
        <v>80</v>
      </c>
      <c r="K7" s="9" t="s">
        <v>81</v>
      </c>
      <c r="L7" s="9" t="s">
        <v>61</v>
      </c>
      <c r="M7" s="9" t="s">
        <v>48</v>
      </c>
      <c r="N7" s="9" t="s">
        <v>49</v>
      </c>
      <c r="O7" s="9" t="s">
        <v>82</v>
      </c>
      <c r="P7" s="9" t="s">
        <v>83</v>
      </c>
    </row>
    <row r="8" spans="1:16" ht="66" x14ac:dyDescent="0.3">
      <c r="A8" s="9" t="s">
        <v>84</v>
      </c>
      <c r="B8" s="9" t="s">
        <v>85</v>
      </c>
      <c r="C8" s="9" t="s">
        <v>86</v>
      </c>
      <c r="D8" s="9" t="s">
        <v>87</v>
      </c>
      <c r="E8" s="9" t="s">
        <v>88</v>
      </c>
      <c r="F8" s="9" t="s">
        <v>78</v>
      </c>
      <c r="G8" s="9" t="s">
        <v>57</v>
      </c>
      <c r="H8" s="9" t="s">
        <v>89</v>
      </c>
      <c r="I8" s="9" t="s">
        <v>44</v>
      </c>
      <c r="J8" s="9" t="s">
        <v>90</v>
      </c>
      <c r="K8" s="9" t="s">
        <v>91</v>
      </c>
      <c r="L8" s="9" t="s">
        <v>61</v>
      </c>
      <c r="M8" s="9" t="s">
        <v>48</v>
      </c>
      <c r="N8" s="9" t="s">
        <v>49</v>
      </c>
      <c r="O8" s="9" t="s">
        <v>82</v>
      </c>
      <c r="P8" s="9" t="s">
        <v>92</v>
      </c>
    </row>
    <row r="9" spans="1:16" ht="132" x14ac:dyDescent="0.3">
      <c r="A9" s="9" t="s">
        <v>93</v>
      </c>
      <c r="B9" s="9" t="s">
        <v>94</v>
      </c>
      <c r="C9" s="9" t="s">
        <v>95</v>
      </c>
      <c r="D9" s="9" t="s">
        <v>54</v>
      </c>
      <c r="E9" s="9" t="s">
        <v>96</v>
      </c>
      <c r="F9" s="9" t="s">
        <v>41</v>
      </c>
      <c r="G9" s="9" t="s">
        <v>42</v>
      </c>
      <c r="H9" s="9" t="s">
        <v>97</v>
      </c>
      <c r="I9" s="9" t="s">
        <v>44</v>
      </c>
      <c r="J9" s="9" t="s">
        <v>98</v>
      </c>
      <c r="K9" s="9" t="s">
        <v>99</v>
      </c>
      <c r="L9" s="9" t="s">
        <v>47</v>
      </c>
      <c r="M9" s="9" t="s">
        <v>48</v>
      </c>
      <c r="N9" s="9" t="s">
        <v>1181</v>
      </c>
      <c r="O9" s="9" t="s">
        <v>1182</v>
      </c>
      <c r="P9" s="9" t="s">
        <v>1183</v>
      </c>
    </row>
    <row r="10" spans="1:16" ht="79.2" x14ac:dyDescent="0.3">
      <c r="A10" s="9" t="s">
        <v>100</v>
      </c>
      <c r="B10" s="9" t="s">
        <v>101</v>
      </c>
      <c r="C10" s="9" t="s">
        <v>102</v>
      </c>
      <c r="D10" s="9" t="s">
        <v>66</v>
      </c>
      <c r="E10" s="9" t="s">
        <v>103</v>
      </c>
      <c r="F10" s="9" t="s">
        <v>104</v>
      </c>
      <c r="G10" s="9" t="s">
        <v>57</v>
      </c>
      <c r="H10" s="9" t="s">
        <v>97</v>
      </c>
      <c r="I10" s="9" t="s">
        <v>105</v>
      </c>
      <c r="J10" s="9" t="s">
        <v>106</v>
      </c>
      <c r="K10" s="9" t="s">
        <v>107</v>
      </c>
      <c r="L10" s="9" t="s">
        <v>108</v>
      </c>
      <c r="M10" s="9" t="s">
        <v>48</v>
      </c>
      <c r="N10" s="9" t="s">
        <v>49</v>
      </c>
      <c r="O10" s="9" t="s">
        <v>109</v>
      </c>
      <c r="P10" s="9" t="s">
        <v>110</v>
      </c>
    </row>
    <row r="11" spans="1:16" ht="79.2" x14ac:dyDescent="0.3">
      <c r="A11" s="9" t="s">
        <v>111</v>
      </c>
      <c r="B11" s="9" t="s">
        <v>112</v>
      </c>
      <c r="C11" s="9" t="s">
        <v>102</v>
      </c>
      <c r="D11" s="9" t="s">
        <v>66</v>
      </c>
      <c r="E11" s="9" t="s">
        <v>113</v>
      </c>
      <c r="F11" s="9" t="s">
        <v>78</v>
      </c>
      <c r="G11" s="9" t="s">
        <v>42</v>
      </c>
      <c r="H11" s="9" t="s">
        <v>114</v>
      </c>
      <c r="I11" s="9" t="s">
        <v>105</v>
      </c>
      <c r="J11" s="9" t="s">
        <v>115</v>
      </c>
      <c r="K11" s="9" t="s">
        <v>116</v>
      </c>
      <c r="L11" s="9" t="s">
        <v>108</v>
      </c>
      <c r="M11" s="9" t="s">
        <v>48</v>
      </c>
      <c r="N11" s="9" t="s">
        <v>49</v>
      </c>
      <c r="O11" s="9" t="s">
        <v>109</v>
      </c>
      <c r="P11" s="9" t="s">
        <v>117</v>
      </c>
    </row>
    <row r="12" spans="1:16" ht="79.2" x14ac:dyDescent="0.3">
      <c r="A12" s="9" t="s">
        <v>118</v>
      </c>
      <c r="B12" s="9" t="s">
        <v>119</v>
      </c>
      <c r="C12" s="9" t="s">
        <v>120</v>
      </c>
      <c r="D12" s="9" t="s">
        <v>66</v>
      </c>
      <c r="E12" s="9" t="s">
        <v>121</v>
      </c>
      <c r="F12" s="9" t="s">
        <v>41</v>
      </c>
      <c r="G12" s="9" t="s">
        <v>42</v>
      </c>
      <c r="H12" s="9" t="s">
        <v>122</v>
      </c>
      <c r="I12" s="9" t="s">
        <v>105</v>
      </c>
      <c r="J12" s="9" t="s">
        <v>123</v>
      </c>
      <c r="K12" s="9" t="s">
        <v>124</v>
      </c>
      <c r="L12" s="9" t="s">
        <v>108</v>
      </c>
      <c r="M12" s="9" t="s">
        <v>48</v>
      </c>
      <c r="N12" s="9" t="s">
        <v>49</v>
      </c>
      <c r="O12" s="9" t="s">
        <v>125</v>
      </c>
      <c r="P12" s="9" t="s">
        <v>126</v>
      </c>
    </row>
    <row r="13" spans="1:16" ht="118.8" x14ac:dyDescent="0.3">
      <c r="A13" s="9" t="s">
        <v>127</v>
      </c>
      <c r="B13" s="9" t="s">
        <v>128</v>
      </c>
      <c r="C13" s="9" t="s">
        <v>129</v>
      </c>
      <c r="D13" s="9" t="s">
        <v>39</v>
      </c>
      <c r="E13" s="9" t="s">
        <v>130</v>
      </c>
      <c r="F13" s="9" t="s">
        <v>41</v>
      </c>
      <c r="G13" s="9" t="s">
        <v>42</v>
      </c>
      <c r="H13" s="9" t="s">
        <v>131</v>
      </c>
      <c r="I13" s="9" t="s">
        <v>44</v>
      </c>
      <c r="J13" s="9" t="s">
        <v>132</v>
      </c>
      <c r="K13" s="9" t="s">
        <v>133</v>
      </c>
      <c r="L13" s="9" t="s">
        <v>47</v>
      </c>
      <c r="M13" s="9" t="s">
        <v>48</v>
      </c>
      <c r="N13" s="9" t="s">
        <v>49</v>
      </c>
      <c r="O13" s="9" t="s">
        <v>134</v>
      </c>
      <c r="P13" s="9" t="s">
        <v>1184</v>
      </c>
    </row>
    <row r="14" spans="1:16" ht="92.4" x14ac:dyDescent="0.3">
      <c r="A14" s="9" t="s">
        <v>135</v>
      </c>
      <c r="B14" s="9" t="s">
        <v>136</v>
      </c>
      <c r="C14" s="9" t="s">
        <v>137</v>
      </c>
      <c r="D14" s="9" t="s">
        <v>39</v>
      </c>
      <c r="E14" s="9" t="s">
        <v>138</v>
      </c>
      <c r="F14" s="9" t="s">
        <v>41</v>
      </c>
      <c r="G14" s="9" t="s">
        <v>42</v>
      </c>
      <c r="H14" s="9" t="s">
        <v>139</v>
      </c>
      <c r="I14" s="9" t="s">
        <v>140</v>
      </c>
      <c r="J14" s="9" t="s">
        <v>141</v>
      </c>
      <c r="K14" s="9" t="s">
        <v>142</v>
      </c>
      <c r="L14" s="9" t="s">
        <v>47</v>
      </c>
      <c r="M14" s="9" t="s">
        <v>48</v>
      </c>
      <c r="N14" s="9" t="s">
        <v>49</v>
      </c>
      <c r="O14" s="9" t="s">
        <v>134</v>
      </c>
      <c r="P14" s="9" t="s">
        <v>1185</v>
      </c>
    </row>
    <row r="15" spans="1:16" ht="79.2" x14ac:dyDescent="0.3">
      <c r="A15" s="9" t="s">
        <v>143</v>
      </c>
      <c r="B15" s="9" t="s">
        <v>144</v>
      </c>
      <c r="C15" s="9" t="s">
        <v>145</v>
      </c>
      <c r="D15" s="9" t="s">
        <v>66</v>
      </c>
      <c r="E15" s="9" t="s">
        <v>146</v>
      </c>
      <c r="F15" s="9" t="s">
        <v>41</v>
      </c>
      <c r="G15" s="9" t="s">
        <v>42</v>
      </c>
      <c r="H15" s="9" t="s">
        <v>147</v>
      </c>
      <c r="I15" s="9" t="s">
        <v>44</v>
      </c>
      <c r="J15" s="9" t="s">
        <v>148</v>
      </c>
      <c r="K15" s="9" t="s">
        <v>149</v>
      </c>
      <c r="L15" s="9" t="s">
        <v>108</v>
      </c>
      <c r="M15" s="9" t="s">
        <v>48</v>
      </c>
      <c r="N15" s="9" t="s">
        <v>49</v>
      </c>
      <c r="O15" s="9" t="s">
        <v>1186</v>
      </c>
      <c r="P15" s="9" t="s">
        <v>150</v>
      </c>
    </row>
    <row r="16" spans="1:16" ht="105.6" x14ac:dyDescent="0.3">
      <c r="A16" s="9" t="s">
        <v>151</v>
      </c>
      <c r="B16" s="9" t="s">
        <v>152</v>
      </c>
      <c r="C16" s="9" t="s">
        <v>153</v>
      </c>
      <c r="D16" s="9" t="s">
        <v>54</v>
      </c>
      <c r="E16" s="9" t="s">
        <v>154</v>
      </c>
      <c r="F16" s="9" t="s">
        <v>41</v>
      </c>
      <c r="G16" s="9" t="s">
        <v>42</v>
      </c>
      <c r="H16" s="9" t="s">
        <v>155</v>
      </c>
      <c r="I16" s="9" t="s">
        <v>44</v>
      </c>
      <c r="J16" s="9" t="s">
        <v>156</v>
      </c>
      <c r="K16" s="9" t="s">
        <v>157</v>
      </c>
      <c r="L16" s="9" t="s">
        <v>61</v>
      </c>
      <c r="M16" s="9" t="s">
        <v>48</v>
      </c>
      <c r="N16" s="9" t="s">
        <v>49</v>
      </c>
      <c r="O16" s="9" t="s">
        <v>158</v>
      </c>
      <c r="P16" s="9" t="s">
        <v>1187</v>
      </c>
    </row>
    <row r="17" spans="1:16" ht="52.8" x14ac:dyDescent="0.3">
      <c r="A17" s="9" t="s">
        <v>159</v>
      </c>
      <c r="B17" s="9" t="s">
        <v>160</v>
      </c>
      <c r="C17" s="9" t="s">
        <v>161</v>
      </c>
      <c r="D17" s="9" t="s">
        <v>161</v>
      </c>
      <c r="E17" s="9" t="s">
        <v>162</v>
      </c>
      <c r="F17" s="9" t="s">
        <v>163</v>
      </c>
      <c r="G17" s="9" t="s">
        <v>164</v>
      </c>
      <c r="H17" s="9" t="s">
        <v>97</v>
      </c>
      <c r="I17" s="9" t="s">
        <v>44</v>
      </c>
      <c r="J17" s="9" t="s">
        <v>98</v>
      </c>
      <c r="K17" s="9" t="s">
        <v>161</v>
      </c>
      <c r="L17" s="9" t="s">
        <v>161</v>
      </c>
      <c r="M17" s="9"/>
      <c r="N17" s="9" t="s">
        <v>165</v>
      </c>
      <c r="O17" s="9" t="s">
        <v>166</v>
      </c>
      <c r="P17" s="9" t="s">
        <v>167</v>
      </c>
    </row>
    <row r="18" spans="1:16" ht="66" x14ac:dyDescent="0.3">
      <c r="A18" s="9" t="s">
        <v>168</v>
      </c>
      <c r="B18" s="9" t="s">
        <v>169</v>
      </c>
      <c r="C18" s="9" t="s">
        <v>76</v>
      </c>
      <c r="D18" s="9" t="s">
        <v>66</v>
      </c>
      <c r="E18" s="9" t="s">
        <v>170</v>
      </c>
      <c r="F18" s="9" t="s">
        <v>56</v>
      </c>
      <c r="G18" s="9" t="s">
        <v>171</v>
      </c>
      <c r="H18" s="9" t="s">
        <v>172</v>
      </c>
      <c r="I18" s="9" t="s">
        <v>44</v>
      </c>
      <c r="J18" s="9" t="s">
        <v>173</v>
      </c>
      <c r="K18" s="9" t="s">
        <v>47</v>
      </c>
      <c r="L18" s="9" t="s">
        <v>47</v>
      </c>
      <c r="M18" s="9"/>
      <c r="N18" s="9" t="s">
        <v>174</v>
      </c>
      <c r="O18" s="9" t="s">
        <v>175</v>
      </c>
      <c r="P18" s="9" t="s">
        <v>176</v>
      </c>
    </row>
    <row r="19" spans="1:16" ht="52.8" x14ac:dyDescent="0.3">
      <c r="A19" s="9" t="s">
        <v>177</v>
      </c>
      <c r="B19" s="9" t="s">
        <v>178</v>
      </c>
      <c r="C19" s="9" t="s">
        <v>65</v>
      </c>
      <c r="D19" s="9" t="s">
        <v>66</v>
      </c>
      <c r="E19" s="9" t="s">
        <v>179</v>
      </c>
      <c r="F19" s="9" t="s">
        <v>56</v>
      </c>
      <c r="G19" s="9" t="s">
        <v>180</v>
      </c>
      <c r="H19" s="9" t="s">
        <v>68</v>
      </c>
      <c r="I19" s="9" t="s">
        <v>44</v>
      </c>
      <c r="J19" s="9" t="s">
        <v>181</v>
      </c>
      <c r="K19" s="9" t="s">
        <v>182</v>
      </c>
      <c r="L19" s="9" t="s">
        <v>71</v>
      </c>
      <c r="M19" s="9"/>
      <c r="N19" s="9" t="s">
        <v>174</v>
      </c>
      <c r="O19" s="9" t="s">
        <v>72</v>
      </c>
      <c r="P19" s="9" t="s">
        <v>183</v>
      </c>
    </row>
    <row r="20" spans="1:16" ht="39.6" x14ac:dyDescent="0.3">
      <c r="A20" s="9" t="s">
        <v>1188</v>
      </c>
      <c r="B20" s="9" t="s">
        <v>1189</v>
      </c>
      <c r="C20" s="9" t="s">
        <v>1190</v>
      </c>
      <c r="D20" s="9" t="s">
        <v>54</v>
      </c>
      <c r="E20" s="9" t="s">
        <v>1191</v>
      </c>
      <c r="F20" s="9" t="s">
        <v>41</v>
      </c>
      <c r="G20" s="9" t="s">
        <v>42</v>
      </c>
      <c r="H20" s="9" t="s">
        <v>97</v>
      </c>
      <c r="I20" s="9" t="s">
        <v>44</v>
      </c>
      <c r="J20" s="9" t="s">
        <v>98</v>
      </c>
      <c r="K20" s="9" t="s">
        <v>1192</v>
      </c>
      <c r="L20" s="9" t="s">
        <v>161</v>
      </c>
      <c r="M20" s="9"/>
      <c r="N20" s="9" t="s">
        <v>1193</v>
      </c>
      <c r="O20" s="9" t="s">
        <v>1194</v>
      </c>
      <c r="P20" s="9" t="s">
        <v>1195</v>
      </c>
    </row>
    <row r="21" spans="1:1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</sheetData>
  <dataValidations count="6">
    <dataValidation type="list" allowBlank="1" error="Elijan una opción de la lista" sqref="D4:D40" xr:uid="{00000000-0002-0000-0100-000000000000}">
      <formula1>"Entidad pública,Academia u ONG,Plataforma colaborativa,Empresa privada,Medio de comunicación,No se sabe"</formula1>
    </dataValidation>
    <dataValidation type="list" allowBlank="1" error="Elijan una opción de la lista" sqref="F4:F40" xr:uid="{00000000-0002-0000-0100-000001000000}">
      <formula1>"CSV,JSON,XLSX,Parquet,GeoJSON,Shapefile,PDF,Página web,Otro"</formula1>
    </dataValidation>
    <dataValidation type="list" allowBlank="1" error="Elijan una opción de la lista" sqref="G4:G40" xr:uid="{00000000-0002-0000-0100-000002000000}">
      <formula1>"API sin llave,API con llave gratuita,Descarga directa,Solo PDF o página,Bloquea scripts o pide sesión"</formula1>
    </dataValidation>
    <dataValidation type="list" allowBlank="1" error="Elijan una opción de la lista" sqref="I4:I40" xr:uid="{00000000-0002-0000-0100-000003000000}">
      <formula1>"No,Solo conteos por zona,Personas identificables,Texto libre sin revisar"</formula1>
    </dataValidation>
    <dataValidation type="list" allowBlank="1" error="Elijan una opción de la lista" sqref="L4:L40" xr:uid="{00000000-0002-0000-0100-000004000000}">
      <formula1>"Tiempo real,Diaria,Mensual,Trimestral,Anual,Única vez,No se sabe"</formula1>
    </dataValidation>
    <dataValidation type="list" allowBlank="1" error="Elijan una opción de la lista" sqref="N4:N40" xr:uid="{00000000-0002-0000-0100-000005000000}">
      <formula1>"Integrada al lago,Candidata,No responde,No existe (la inventó la IA),Descartada"</formula1>
    </dataValidation>
  </dataValidations>
  <hyperlinks>
    <hyperlink ref="E4" r:id="rId1" xr:uid="{F9EBA570-C5FB-4D3A-8C35-B1AB64F85D41}"/>
    <hyperlink ref="E5" r:id="rId2" xr:uid="{55C510B3-BA3C-4737-B870-DFCA45E0297D}"/>
    <hyperlink ref="E6" r:id="rId3" xr:uid="{0156B167-F913-4679-8CBF-A6F1D05728DF}"/>
    <hyperlink ref="E7" r:id="rId4" xr:uid="{4F47E58B-2F8D-45DD-94E2-4C99B2AB4B0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L103" sqref="L103"/>
    </sheetView>
  </sheetViews>
  <sheetFormatPr baseColWidth="10" defaultColWidth="8.88671875" defaultRowHeight="14.4" x14ac:dyDescent="0.3"/>
  <cols>
    <col min="1" max="1" width="9" customWidth="1"/>
    <col min="2" max="2" width="20" customWidth="1"/>
    <col min="3" max="3" width="22" customWidth="1"/>
    <col min="4" max="4" width="20" customWidth="1"/>
    <col min="5" max="5" width="36" customWidth="1"/>
    <col min="6" max="6" width="12" customWidth="1"/>
    <col min="7" max="7" width="16" customWidth="1"/>
    <col min="8" max="8" width="14" customWidth="1"/>
    <col min="9" max="9" width="11" customWidth="1"/>
    <col min="10" max="10" width="22" customWidth="1"/>
    <col min="11" max="11" width="16" customWidth="1"/>
    <col min="12" max="12" width="28" customWidth="1"/>
    <col min="13" max="13" width="32" customWidth="1"/>
  </cols>
  <sheetData>
    <row r="1" spans="1:13" ht="17.399999999999999" x14ac:dyDescent="0.3">
      <c r="A1" s="6" t="s">
        <v>184</v>
      </c>
    </row>
    <row r="2" spans="1:13" x14ac:dyDescent="0.3">
      <c r="A2" s="7" t="s">
        <v>185</v>
      </c>
    </row>
    <row r="3" spans="1:13" ht="42" customHeight="1" x14ac:dyDescent="0.3">
      <c r="A3" s="8" t="s">
        <v>20</v>
      </c>
      <c r="B3" s="8" t="s">
        <v>186</v>
      </c>
      <c r="C3" s="8" t="s">
        <v>187</v>
      </c>
      <c r="D3" s="8" t="s">
        <v>188</v>
      </c>
      <c r="E3" s="8" t="s">
        <v>189</v>
      </c>
      <c r="F3" s="8" t="s">
        <v>190</v>
      </c>
      <c r="G3" s="8" t="s">
        <v>191</v>
      </c>
      <c r="H3" s="8" t="s">
        <v>192</v>
      </c>
      <c r="I3" s="8" t="s">
        <v>193</v>
      </c>
      <c r="J3" s="8" t="s">
        <v>194</v>
      </c>
      <c r="K3" s="8" t="s">
        <v>195</v>
      </c>
      <c r="L3" s="8" t="s">
        <v>196</v>
      </c>
      <c r="M3" s="8" t="s">
        <v>197</v>
      </c>
    </row>
    <row r="4" spans="1:13" ht="39.6" x14ac:dyDescent="0.3">
      <c r="A4" s="9" t="s">
        <v>36</v>
      </c>
      <c r="B4" s="9" t="s">
        <v>198</v>
      </c>
      <c r="C4" s="9" t="s">
        <v>199</v>
      </c>
      <c r="D4" s="9" t="s">
        <v>200</v>
      </c>
      <c r="E4" s="9" t="s">
        <v>201</v>
      </c>
      <c r="F4" s="9" t="s">
        <v>202</v>
      </c>
      <c r="G4" s="9" t="s">
        <v>203</v>
      </c>
      <c r="H4" s="9" t="s">
        <v>204</v>
      </c>
      <c r="I4" s="9" t="s">
        <v>44</v>
      </c>
      <c r="J4" s="9" t="s">
        <v>205</v>
      </c>
      <c r="K4" s="9" t="s">
        <v>206</v>
      </c>
      <c r="L4" s="9" t="s">
        <v>207</v>
      </c>
      <c r="M4" s="9" t="s">
        <v>208</v>
      </c>
    </row>
    <row r="5" spans="1:13" ht="39.6" x14ac:dyDescent="0.3">
      <c r="A5" s="9" t="s">
        <v>36</v>
      </c>
      <c r="B5" s="9" t="s">
        <v>198</v>
      </c>
      <c r="C5" s="9" t="s">
        <v>209</v>
      </c>
      <c r="D5" s="9" t="s">
        <v>210</v>
      </c>
      <c r="E5" s="9" t="s">
        <v>211</v>
      </c>
      <c r="F5" s="9" t="s">
        <v>212</v>
      </c>
      <c r="G5" s="9" t="s">
        <v>213</v>
      </c>
      <c r="H5" s="9" t="s">
        <v>214</v>
      </c>
      <c r="I5" s="9" t="s">
        <v>44</v>
      </c>
      <c r="J5" s="9" t="s">
        <v>215</v>
      </c>
      <c r="K5" s="9" t="s">
        <v>206</v>
      </c>
      <c r="L5" s="9" t="s">
        <v>216</v>
      </c>
      <c r="M5" s="9" t="s">
        <v>208</v>
      </c>
    </row>
    <row r="6" spans="1:13" ht="39.6" x14ac:dyDescent="0.3">
      <c r="A6" s="9" t="s">
        <v>36</v>
      </c>
      <c r="B6" s="9" t="s">
        <v>198</v>
      </c>
      <c r="C6" s="9" t="s">
        <v>217</v>
      </c>
      <c r="D6" s="9" t="s">
        <v>218</v>
      </c>
      <c r="E6" s="9" t="s">
        <v>219</v>
      </c>
      <c r="F6" s="9" t="s">
        <v>202</v>
      </c>
      <c r="G6" s="9" t="s">
        <v>213</v>
      </c>
      <c r="H6" s="9" t="s">
        <v>220</v>
      </c>
      <c r="I6" s="9" t="s">
        <v>44</v>
      </c>
      <c r="J6" s="9" t="s">
        <v>215</v>
      </c>
      <c r="K6" s="9" t="s">
        <v>206</v>
      </c>
      <c r="L6" s="9" t="s">
        <v>221</v>
      </c>
      <c r="M6" s="9" t="s">
        <v>208</v>
      </c>
    </row>
    <row r="7" spans="1:13" ht="39.6" x14ac:dyDescent="0.3">
      <c r="A7" s="9" t="s">
        <v>36</v>
      </c>
      <c r="B7" s="9" t="s">
        <v>198</v>
      </c>
      <c r="C7" s="9" t="s">
        <v>222</v>
      </c>
      <c r="D7" s="9" t="s">
        <v>223</v>
      </c>
      <c r="E7" s="9" t="s">
        <v>224</v>
      </c>
      <c r="F7" s="9" t="s">
        <v>212</v>
      </c>
      <c r="G7" s="9" t="s">
        <v>213</v>
      </c>
      <c r="H7" s="9" t="s">
        <v>225</v>
      </c>
      <c r="I7" s="9" t="s">
        <v>44</v>
      </c>
      <c r="J7" s="9" t="s">
        <v>215</v>
      </c>
      <c r="K7" s="9" t="s">
        <v>206</v>
      </c>
      <c r="L7" s="9" t="s">
        <v>226</v>
      </c>
      <c r="M7" s="9" t="s">
        <v>208</v>
      </c>
    </row>
    <row r="8" spans="1:13" ht="39.6" x14ac:dyDescent="0.3">
      <c r="A8" s="9" t="s">
        <v>36</v>
      </c>
      <c r="B8" s="9" t="s">
        <v>198</v>
      </c>
      <c r="C8" s="9" t="s">
        <v>227</v>
      </c>
      <c r="D8" s="9" t="s">
        <v>218</v>
      </c>
      <c r="E8" s="9" t="s">
        <v>228</v>
      </c>
      <c r="F8" s="9" t="s">
        <v>202</v>
      </c>
      <c r="G8" s="9" t="s">
        <v>229</v>
      </c>
      <c r="H8" s="9" t="s">
        <v>230</v>
      </c>
      <c r="I8" s="9" t="s">
        <v>44</v>
      </c>
      <c r="J8" s="9" t="s">
        <v>231</v>
      </c>
      <c r="K8" s="9" t="s">
        <v>206</v>
      </c>
      <c r="L8" s="9" t="s">
        <v>232</v>
      </c>
      <c r="M8" s="9" t="s">
        <v>208</v>
      </c>
    </row>
    <row r="9" spans="1:13" ht="39.6" x14ac:dyDescent="0.3">
      <c r="A9" s="9" t="s">
        <v>36</v>
      </c>
      <c r="B9" s="9" t="s">
        <v>198</v>
      </c>
      <c r="C9" s="9" t="s">
        <v>233</v>
      </c>
      <c r="D9" s="9" t="s">
        <v>234</v>
      </c>
      <c r="E9" s="9" t="s">
        <v>235</v>
      </c>
      <c r="F9" s="9" t="s">
        <v>202</v>
      </c>
      <c r="G9" s="9" t="s">
        <v>213</v>
      </c>
      <c r="H9" s="9" t="s">
        <v>236</v>
      </c>
      <c r="I9" s="9" t="s">
        <v>44</v>
      </c>
      <c r="J9" s="9" t="s">
        <v>215</v>
      </c>
      <c r="K9" s="9" t="s">
        <v>206</v>
      </c>
      <c r="L9" s="9" t="s">
        <v>216</v>
      </c>
      <c r="M9" s="9" t="s">
        <v>208</v>
      </c>
    </row>
    <row r="10" spans="1:13" ht="39.6" x14ac:dyDescent="0.3">
      <c r="A10" s="9" t="s">
        <v>100</v>
      </c>
      <c r="B10" s="9" t="s">
        <v>198</v>
      </c>
      <c r="C10" s="9" t="s">
        <v>237</v>
      </c>
      <c r="D10" s="9" t="s">
        <v>238</v>
      </c>
      <c r="E10" s="9" t="s">
        <v>239</v>
      </c>
      <c r="F10" s="9" t="s">
        <v>202</v>
      </c>
      <c r="G10" s="9" t="s">
        <v>213</v>
      </c>
      <c r="H10" s="9" t="s">
        <v>240</v>
      </c>
      <c r="I10" s="9" t="s">
        <v>44</v>
      </c>
      <c r="J10" s="9" t="s">
        <v>215</v>
      </c>
      <c r="K10" s="9" t="s">
        <v>206</v>
      </c>
      <c r="L10" s="9" t="s">
        <v>241</v>
      </c>
      <c r="M10" s="9" t="s">
        <v>208</v>
      </c>
    </row>
    <row r="11" spans="1:13" ht="39.6" x14ac:dyDescent="0.3">
      <c r="A11" s="9" t="s">
        <v>36</v>
      </c>
      <c r="B11" s="9" t="s">
        <v>198</v>
      </c>
      <c r="C11" s="9" t="s">
        <v>242</v>
      </c>
      <c r="D11" s="9" t="s">
        <v>243</v>
      </c>
      <c r="E11" s="9" t="s">
        <v>244</v>
      </c>
      <c r="F11" s="9" t="s">
        <v>245</v>
      </c>
      <c r="G11" s="9" t="s">
        <v>246</v>
      </c>
      <c r="H11" s="9" t="s">
        <v>247</v>
      </c>
      <c r="I11" s="9" t="s">
        <v>44</v>
      </c>
      <c r="J11" s="9" t="s">
        <v>248</v>
      </c>
      <c r="K11" s="9" t="s">
        <v>206</v>
      </c>
      <c r="L11" s="9" t="s">
        <v>249</v>
      </c>
      <c r="M11" s="9" t="s">
        <v>208</v>
      </c>
    </row>
    <row r="12" spans="1:13" ht="39.6" x14ac:dyDescent="0.3">
      <c r="A12" s="9" t="s">
        <v>100</v>
      </c>
      <c r="B12" s="9" t="s">
        <v>198</v>
      </c>
      <c r="C12" s="9" t="s">
        <v>250</v>
      </c>
      <c r="D12" s="9" t="s">
        <v>251</v>
      </c>
      <c r="E12" s="9" t="s">
        <v>252</v>
      </c>
      <c r="F12" s="9" t="s">
        <v>245</v>
      </c>
      <c r="G12" s="9" t="s">
        <v>253</v>
      </c>
      <c r="H12" s="9" t="s">
        <v>254</v>
      </c>
      <c r="I12" s="9" t="s">
        <v>44</v>
      </c>
      <c r="J12" s="9" t="s">
        <v>255</v>
      </c>
      <c r="K12" s="9" t="s">
        <v>206</v>
      </c>
      <c r="L12" s="9" t="s">
        <v>256</v>
      </c>
      <c r="M12" s="9" t="s">
        <v>208</v>
      </c>
    </row>
    <row r="13" spans="1:13" ht="39.6" x14ac:dyDescent="0.3">
      <c r="A13" s="9" t="s">
        <v>100</v>
      </c>
      <c r="B13" s="9" t="s">
        <v>198</v>
      </c>
      <c r="C13" s="9" t="s">
        <v>257</v>
      </c>
      <c r="D13" s="9" t="s">
        <v>258</v>
      </c>
      <c r="E13" s="9" t="s">
        <v>259</v>
      </c>
      <c r="F13" s="9" t="s">
        <v>260</v>
      </c>
      <c r="G13" s="9" t="s">
        <v>261</v>
      </c>
      <c r="H13" s="9" t="s">
        <v>262</v>
      </c>
      <c r="I13" s="9" t="s">
        <v>44</v>
      </c>
      <c r="J13" s="9" t="s">
        <v>263</v>
      </c>
      <c r="K13" s="9" t="s">
        <v>206</v>
      </c>
      <c r="L13" s="9" t="s">
        <v>264</v>
      </c>
      <c r="M13" s="9" t="s">
        <v>208</v>
      </c>
    </row>
    <row r="14" spans="1:13" ht="39.6" x14ac:dyDescent="0.3">
      <c r="A14" s="9" t="s">
        <v>100</v>
      </c>
      <c r="B14" s="9" t="s">
        <v>198</v>
      </c>
      <c r="C14" s="9" t="s">
        <v>265</v>
      </c>
      <c r="D14" s="9" t="s">
        <v>266</v>
      </c>
      <c r="E14" s="9" t="s">
        <v>267</v>
      </c>
      <c r="F14" s="9" t="s">
        <v>260</v>
      </c>
      <c r="G14" s="9" t="s">
        <v>261</v>
      </c>
      <c r="H14" s="9" t="s">
        <v>268</v>
      </c>
      <c r="I14" s="9" t="s">
        <v>44</v>
      </c>
      <c r="J14" s="9" t="s">
        <v>269</v>
      </c>
      <c r="K14" s="9" t="s">
        <v>206</v>
      </c>
      <c r="L14" s="9" t="s">
        <v>270</v>
      </c>
      <c r="M14" s="9" t="s">
        <v>208</v>
      </c>
    </row>
    <row r="15" spans="1:13" ht="39.6" x14ac:dyDescent="0.3">
      <c r="A15" s="9" t="s">
        <v>100</v>
      </c>
      <c r="B15" s="9" t="s">
        <v>198</v>
      </c>
      <c r="C15" s="9" t="s">
        <v>271</v>
      </c>
      <c r="D15" s="9" t="s">
        <v>272</v>
      </c>
      <c r="E15" s="9" t="s">
        <v>273</v>
      </c>
      <c r="F15" s="9" t="s">
        <v>260</v>
      </c>
      <c r="G15" s="9" t="s">
        <v>271</v>
      </c>
      <c r="H15" s="9" t="s">
        <v>274</v>
      </c>
      <c r="I15" s="9" t="s">
        <v>44</v>
      </c>
      <c r="J15" s="9" t="s">
        <v>275</v>
      </c>
      <c r="K15" s="9" t="s">
        <v>206</v>
      </c>
      <c r="L15" s="9" t="s">
        <v>276</v>
      </c>
      <c r="M15" s="9" t="s">
        <v>208</v>
      </c>
    </row>
    <row r="16" spans="1:13" ht="39.6" x14ac:dyDescent="0.3">
      <c r="A16" s="9" t="s">
        <v>100</v>
      </c>
      <c r="B16" s="9" t="s">
        <v>198</v>
      </c>
      <c r="C16" s="9" t="s">
        <v>277</v>
      </c>
      <c r="D16" s="9" t="s">
        <v>278</v>
      </c>
      <c r="E16" s="9" t="s">
        <v>279</v>
      </c>
      <c r="F16" s="9" t="s">
        <v>280</v>
      </c>
      <c r="G16" s="9" t="s">
        <v>281</v>
      </c>
      <c r="H16" s="9" t="s">
        <v>282</v>
      </c>
      <c r="I16" s="9" t="s">
        <v>44</v>
      </c>
      <c r="J16" s="9" t="s">
        <v>282</v>
      </c>
      <c r="K16" s="9" t="s">
        <v>206</v>
      </c>
      <c r="L16" s="9" t="s">
        <v>283</v>
      </c>
      <c r="M16" s="9" t="s">
        <v>208</v>
      </c>
    </row>
    <row r="17" spans="1:13" ht="39.6" x14ac:dyDescent="0.3">
      <c r="A17" s="9" t="s">
        <v>36</v>
      </c>
      <c r="B17" s="9" t="s">
        <v>198</v>
      </c>
      <c r="C17" s="9" t="s">
        <v>284</v>
      </c>
      <c r="D17" s="9" t="s">
        <v>285</v>
      </c>
      <c r="E17" s="9" t="s">
        <v>286</v>
      </c>
      <c r="F17" s="9" t="s">
        <v>287</v>
      </c>
      <c r="G17" s="9" t="s">
        <v>288</v>
      </c>
      <c r="H17" s="9" t="s">
        <v>289</v>
      </c>
      <c r="I17" s="9" t="s">
        <v>44</v>
      </c>
      <c r="J17" s="9" t="s">
        <v>290</v>
      </c>
      <c r="K17" s="9" t="s">
        <v>206</v>
      </c>
      <c r="L17" s="9" t="s">
        <v>291</v>
      </c>
      <c r="M17" s="9" t="s">
        <v>208</v>
      </c>
    </row>
    <row r="18" spans="1:13" ht="39.6" x14ac:dyDescent="0.3">
      <c r="A18" s="9" t="s">
        <v>36</v>
      </c>
      <c r="B18" s="9" t="s">
        <v>198</v>
      </c>
      <c r="C18" s="9" t="s">
        <v>292</v>
      </c>
      <c r="D18" s="9" t="s">
        <v>285</v>
      </c>
      <c r="E18" s="9" t="s">
        <v>293</v>
      </c>
      <c r="F18" s="9" t="s">
        <v>287</v>
      </c>
      <c r="G18" s="9" t="s">
        <v>288</v>
      </c>
      <c r="H18" s="9" t="s">
        <v>294</v>
      </c>
      <c r="I18" s="9" t="s">
        <v>44</v>
      </c>
      <c r="J18" s="9" t="s">
        <v>295</v>
      </c>
      <c r="K18" s="9" t="s">
        <v>206</v>
      </c>
      <c r="L18" s="9" t="s">
        <v>291</v>
      </c>
      <c r="M18" s="9" t="s">
        <v>208</v>
      </c>
    </row>
    <row r="19" spans="1:13" ht="92.4" x14ac:dyDescent="0.3">
      <c r="A19" s="9" t="s">
        <v>36</v>
      </c>
      <c r="B19" s="9" t="s">
        <v>198</v>
      </c>
      <c r="C19" s="9" t="s">
        <v>296</v>
      </c>
      <c r="D19" s="9" t="s">
        <v>297</v>
      </c>
      <c r="E19" s="9" t="s">
        <v>298</v>
      </c>
      <c r="F19" s="9" t="s">
        <v>287</v>
      </c>
      <c r="G19" s="9" t="s">
        <v>299</v>
      </c>
      <c r="H19" s="9" t="s">
        <v>300</v>
      </c>
      <c r="I19" s="9" t="s">
        <v>44</v>
      </c>
      <c r="J19" s="9" t="s">
        <v>301</v>
      </c>
      <c r="K19" s="9" t="s">
        <v>206</v>
      </c>
      <c r="L19" s="9" t="s">
        <v>302</v>
      </c>
      <c r="M19" s="9" t="s">
        <v>208</v>
      </c>
    </row>
    <row r="20" spans="1:13" ht="39.6" x14ac:dyDescent="0.3">
      <c r="A20" s="9" t="s">
        <v>36</v>
      </c>
      <c r="B20" s="9" t="s">
        <v>303</v>
      </c>
      <c r="C20" s="9" t="s">
        <v>304</v>
      </c>
      <c r="D20" s="9" t="s">
        <v>305</v>
      </c>
      <c r="E20" s="9" t="s">
        <v>306</v>
      </c>
      <c r="F20" s="9" t="s">
        <v>202</v>
      </c>
      <c r="G20" s="9" t="s">
        <v>307</v>
      </c>
      <c r="H20" s="9" t="s">
        <v>308</v>
      </c>
      <c r="I20" s="9" t="s">
        <v>44</v>
      </c>
      <c r="J20" s="9" t="s">
        <v>309</v>
      </c>
      <c r="K20" s="9" t="s">
        <v>206</v>
      </c>
      <c r="L20" s="9" t="s">
        <v>216</v>
      </c>
      <c r="M20" s="9" t="s">
        <v>310</v>
      </c>
    </row>
    <row r="21" spans="1:13" ht="39.6" x14ac:dyDescent="0.3">
      <c r="A21" s="9" t="s">
        <v>36</v>
      </c>
      <c r="B21" s="9" t="s">
        <v>303</v>
      </c>
      <c r="C21" s="9" t="s">
        <v>311</v>
      </c>
      <c r="D21" s="9" t="s">
        <v>312</v>
      </c>
      <c r="E21" s="9" t="s">
        <v>313</v>
      </c>
      <c r="F21" s="9" t="s">
        <v>202</v>
      </c>
      <c r="G21" s="9" t="s">
        <v>213</v>
      </c>
      <c r="H21" s="9" t="s">
        <v>314</v>
      </c>
      <c r="I21" s="9" t="s">
        <v>44</v>
      </c>
      <c r="J21" s="9" t="s">
        <v>315</v>
      </c>
      <c r="K21" s="9" t="s">
        <v>206</v>
      </c>
      <c r="L21" s="9" t="s">
        <v>216</v>
      </c>
      <c r="M21" s="9" t="s">
        <v>310</v>
      </c>
    </row>
    <row r="22" spans="1:13" ht="52.8" x14ac:dyDescent="0.3">
      <c r="A22" s="9" t="s">
        <v>36</v>
      </c>
      <c r="B22" s="9" t="s">
        <v>303</v>
      </c>
      <c r="C22" s="9" t="s">
        <v>316</v>
      </c>
      <c r="D22" s="9" t="s">
        <v>317</v>
      </c>
      <c r="E22" s="9" t="s">
        <v>318</v>
      </c>
      <c r="F22" s="9" t="s">
        <v>202</v>
      </c>
      <c r="G22" s="9" t="s">
        <v>213</v>
      </c>
      <c r="H22" s="9" t="s">
        <v>319</v>
      </c>
      <c r="I22" s="9" t="s">
        <v>44</v>
      </c>
      <c r="J22" s="9" t="s">
        <v>320</v>
      </c>
      <c r="K22" s="9" t="s">
        <v>206</v>
      </c>
      <c r="L22" s="9" t="s">
        <v>321</v>
      </c>
      <c r="M22" s="9" t="s">
        <v>310</v>
      </c>
    </row>
    <row r="23" spans="1:13" ht="39.6" x14ac:dyDescent="0.3">
      <c r="A23" s="9" t="s">
        <v>36</v>
      </c>
      <c r="B23" s="9" t="s">
        <v>303</v>
      </c>
      <c r="C23" s="9" t="s">
        <v>322</v>
      </c>
      <c r="D23" s="9" t="s">
        <v>323</v>
      </c>
      <c r="E23" s="9" t="s">
        <v>324</v>
      </c>
      <c r="F23" s="9" t="s">
        <v>202</v>
      </c>
      <c r="G23" s="9" t="s">
        <v>213</v>
      </c>
      <c r="H23" s="9" t="s">
        <v>325</v>
      </c>
      <c r="I23" s="9" t="s">
        <v>44</v>
      </c>
      <c r="J23" s="9" t="s">
        <v>326</v>
      </c>
      <c r="K23" s="9" t="s">
        <v>206</v>
      </c>
      <c r="L23" s="9" t="s">
        <v>327</v>
      </c>
      <c r="M23" s="9" t="s">
        <v>310</v>
      </c>
    </row>
    <row r="24" spans="1:13" ht="52.8" x14ac:dyDescent="0.3">
      <c r="A24" s="9" t="s">
        <v>36</v>
      </c>
      <c r="B24" s="9" t="s">
        <v>303</v>
      </c>
      <c r="C24" s="9" t="s">
        <v>209</v>
      </c>
      <c r="D24" s="9" t="s">
        <v>210</v>
      </c>
      <c r="E24" s="9" t="s">
        <v>328</v>
      </c>
      <c r="F24" s="9" t="s">
        <v>212</v>
      </c>
      <c r="G24" s="9" t="s">
        <v>213</v>
      </c>
      <c r="H24" s="9" t="s">
        <v>329</v>
      </c>
      <c r="I24" s="9" t="s">
        <v>330</v>
      </c>
      <c r="J24" s="9" t="s">
        <v>331</v>
      </c>
      <c r="K24" s="9" t="s">
        <v>206</v>
      </c>
      <c r="L24" s="9" t="s">
        <v>216</v>
      </c>
      <c r="M24" s="9" t="s">
        <v>310</v>
      </c>
    </row>
    <row r="25" spans="1:13" ht="39.6" x14ac:dyDescent="0.3">
      <c r="A25" s="9" t="s">
        <v>36</v>
      </c>
      <c r="B25" s="9" t="s">
        <v>303</v>
      </c>
      <c r="C25" s="9" t="s">
        <v>332</v>
      </c>
      <c r="D25" s="9" t="s">
        <v>333</v>
      </c>
      <c r="E25" s="9" t="s">
        <v>334</v>
      </c>
      <c r="F25" s="9" t="s">
        <v>287</v>
      </c>
      <c r="G25" s="9" t="s">
        <v>288</v>
      </c>
      <c r="H25" s="9" t="s">
        <v>335</v>
      </c>
      <c r="I25" s="9" t="s">
        <v>44</v>
      </c>
      <c r="J25" s="9" t="s">
        <v>336</v>
      </c>
      <c r="K25" s="9" t="s">
        <v>206</v>
      </c>
      <c r="L25" s="9" t="s">
        <v>337</v>
      </c>
      <c r="M25" s="9" t="s">
        <v>310</v>
      </c>
    </row>
    <row r="26" spans="1:13" ht="39.6" x14ac:dyDescent="0.3">
      <c r="A26" s="9" t="s">
        <v>36</v>
      </c>
      <c r="B26" s="9" t="s">
        <v>303</v>
      </c>
      <c r="C26" s="9" t="s">
        <v>338</v>
      </c>
      <c r="D26" s="9" t="s">
        <v>339</v>
      </c>
      <c r="E26" s="9" t="s">
        <v>340</v>
      </c>
      <c r="F26" s="9" t="s">
        <v>287</v>
      </c>
      <c r="G26" s="9" t="s">
        <v>288</v>
      </c>
      <c r="H26" s="9" t="s">
        <v>341</v>
      </c>
      <c r="I26" s="9" t="s">
        <v>44</v>
      </c>
      <c r="J26" s="9" t="s">
        <v>342</v>
      </c>
      <c r="K26" s="9" t="s">
        <v>206</v>
      </c>
      <c r="L26" s="9" t="s">
        <v>337</v>
      </c>
      <c r="M26" s="9" t="s">
        <v>310</v>
      </c>
    </row>
    <row r="27" spans="1:13" ht="39.6" x14ac:dyDescent="0.3">
      <c r="A27" s="9" t="s">
        <v>36</v>
      </c>
      <c r="B27" s="9" t="s">
        <v>303</v>
      </c>
      <c r="C27" s="9" t="s">
        <v>343</v>
      </c>
      <c r="D27" s="9" t="s">
        <v>344</v>
      </c>
      <c r="E27" s="9" t="s">
        <v>345</v>
      </c>
      <c r="F27" s="9" t="s">
        <v>245</v>
      </c>
      <c r="G27" s="9" t="s">
        <v>213</v>
      </c>
      <c r="H27" s="9" t="s">
        <v>346</v>
      </c>
      <c r="I27" s="9" t="s">
        <v>330</v>
      </c>
      <c r="J27" s="9" t="s">
        <v>347</v>
      </c>
      <c r="K27" s="9" t="s">
        <v>206</v>
      </c>
      <c r="L27" s="9" t="s">
        <v>256</v>
      </c>
      <c r="M27" s="9" t="s">
        <v>310</v>
      </c>
    </row>
    <row r="28" spans="1:13" ht="39.6" x14ac:dyDescent="0.3">
      <c r="A28" s="9" t="s">
        <v>36</v>
      </c>
      <c r="B28" s="9" t="s">
        <v>303</v>
      </c>
      <c r="C28" s="9" t="s">
        <v>348</v>
      </c>
      <c r="D28" s="9" t="s">
        <v>349</v>
      </c>
      <c r="E28" s="9" t="s">
        <v>350</v>
      </c>
      <c r="F28" s="9" t="s">
        <v>202</v>
      </c>
      <c r="G28" s="9" t="s">
        <v>213</v>
      </c>
      <c r="H28" s="9" t="s">
        <v>351</v>
      </c>
      <c r="I28" s="9" t="s">
        <v>330</v>
      </c>
      <c r="J28" s="9" t="s">
        <v>352</v>
      </c>
      <c r="K28" s="9" t="s">
        <v>206</v>
      </c>
      <c r="L28" s="9" t="s">
        <v>216</v>
      </c>
      <c r="M28" s="9" t="s">
        <v>310</v>
      </c>
    </row>
    <row r="29" spans="1:13" ht="39.6" x14ac:dyDescent="0.3">
      <c r="A29" s="9" t="s">
        <v>36</v>
      </c>
      <c r="B29" s="9" t="s">
        <v>303</v>
      </c>
      <c r="C29" s="9" t="s">
        <v>1196</v>
      </c>
      <c r="D29" s="9" t="s">
        <v>1197</v>
      </c>
      <c r="E29" s="9" t="s">
        <v>1198</v>
      </c>
      <c r="F29" s="9" t="s">
        <v>212</v>
      </c>
      <c r="G29" s="9" t="s">
        <v>213</v>
      </c>
      <c r="H29" s="9" t="s">
        <v>1199</v>
      </c>
      <c r="I29" s="9" t="s">
        <v>330</v>
      </c>
      <c r="J29" s="9" t="s">
        <v>1200</v>
      </c>
      <c r="K29" s="9" t="s">
        <v>206</v>
      </c>
      <c r="L29" s="9" t="s">
        <v>1201</v>
      </c>
      <c r="M29" s="9" t="s">
        <v>1202</v>
      </c>
    </row>
    <row r="30" spans="1:13" ht="26.4" x14ac:dyDescent="0.3">
      <c r="A30" s="9" t="s">
        <v>36</v>
      </c>
      <c r="B30" s="9" t="s">
        <v>353</v>
      </c>
      <c r="C30" s="9" t="s">
        <v>199</v>
      </c>
      <c r="D30" s="9" t="s">
        <v>354</v>
      </c>
      <c r="E30" s="9" t="s">
        <v>355</v>
      </c>
      <c r="F30" s="9" t="s">
        <v>202</v>
      </c>
      <c r="G30" s="9" t="s">
        <v>203</v>
      </c>
      <c r="H30" s="9" t="s">
        <v>204</v>
      </c>
      <c r="I30" s="9" t="s">
        <v>44</v>
      </c>
      <c r="J30" s="9" t="s">
        <v>205</v>
      </c>
      <c r="K30" s="9" t="s">
        <v>206</v>
      </c>
      <c r="L30" s="9" t="s">
        <v>356</v>
      </c>
      <c r="M30" s="9" t="s">
        <v>357</v>
      </c>
    </row>
    <row r="31" spans="1:13" ht="39.6" x14ac:dyDescent="0.3">
      <c r="A31" s="9" t="s">
        <v>36</v>
      </c>
      <c r="B31" s="9" t="s">
        <v>353</v>
      </c>
      <c r="C31" s="9" t="s">
        <v>358</v>
      </c>
      <c r="D31" s="9" t="s">
        <v>359</v>
      </c>
      <c r="E31" s="9" t="s">
        <v>360</v>
      </c>
      <c r="F31" s="9" t="s">
        <v>260</v>
      </c>
      <c r="G31" s="9" t="s">
        <v>358</v>
      </c>
      <c r="H31" s="9" t="s">
        <v>361</v>
      </c>
      <c r="I31" s="9" t="s">
        <v>44</v>
      </c>
      <c r="J31" s="9" t="s">
        <v>362</v>
      </c>
      <c r="K31" s="9" t="s">
        <v>206</v>
      </c>
      <c r="L31" s="9" t="s">
        <v>363</v>
      </c>
      <c r="M31" s="9" t="s">
        <v>357</v>
      </c>
    </row>
    <row r="32" spans="1:13" ht="26.4" x14ac:dyDescent="0.3">
      <c r="A32" s="9" t="s">
        <v>36</v>
      </c>
      <c r="B32" s="9" t="s">
        <v>353</v>
      </c>
      <c r="C32" s="9" t="s">
        <v>364</v>
      </c>
      <c r="D32" s="9" t="s">
        <v>359</v>
      </c>
      <c r="E32" s="9" t="s">
        <v>365</v>
      </c>
      <c r="F32" s="9" t="s">
        <v>260</v>
      </c>
      <c r="G32" s="9" t="s">
        <v>358</v>
      </c>
      <c r="H32" s="9" t="s">
        <v>366</v>
      </c>
      <c r="I32" s="9" t="s">
        <v>44</v>
      </c>
      <c r="J32" s="9" t="s">
        <v>367</v>
      </c>
      <c r="K32" s="9" t="s">
        <v>206</v>
      </c>
      <c r="L32" s="9" t="s">
        <v>368</v>
      </c>
      <c r="M32" s="9" t="s">
        <v>357</v>
      </c>
    </row>
    <row r="33" spans="1:13" ht="26.4" x14ac:dyDescent="0.3">
      <c r="A33" s="9" t="s">
        <v>36</v>
      </c>
      <c r="B33" s="9" t="s">
        <v>353</v>
      </c>
      <c r="C33" s="9" t="s">
        <v>369</v>
      </c>
      <c r="D33" s="9" t="s">
        <v>370</v>
      </c>
      <c r="E33" s="9" t="s">
        <v>371</v>
      </c>
      <c r="F33" s="9" t="s">
        <v>280</v>
      </c>
      <c r="G33" s="9" t="s">
        <v>372</v>
      </c>
      <c r="H33" s="9" t="s">
        <v>373</v>
      </c>
      <c r="I33" s="9" t="s">
        <v>44</v>
      </c>
      <c r="J33" s="9" t="s">
        <v>373</v>
      </c>
      <c r="K33" s="9" t="s">
        <v>206</v>
      </c>
      <c r="L33" s="9" t="s">
        <v>216</v>
      </c>
      <c r="M33" s="9" t="s">
        <v>357</v>
      </c>
    </row>
    <row r="34" spans="1:13" ht="26.4" x14ac:dyDescent="0.3">
      <c r="A34" s="9" t="s">
        <v>51</v>
      </c>
      <c r="B34" s="9" t="s">
        <v>374</v>
      </c>
      <c r="C34" s="9" t="s">
        <v>375</v>
      </c>
      <c r="D34" s="9" t="s">
        <v>376</v>
      </c>
      <c r="E34" s="9" t="s">
        <v>377</v>
      </c>
      <c r="F34" s="9" t="s">
        <v>280</v>
      </c>
      <c r="G34" s="9" t="s">
        <v>372</v>
      </c>
      <c r="H34" s="9" t="s">
        <v>378</v>
      </c>
      <c r="I34" s="9" t="s">
        <v>44</v>
      </c>
      <c r="J34" s="9" t="s">
        <v>378</v>
      </c>
      <c r="K34" s="9" t="s">
        <v>206</v>
      </c>
      <c r="L34" s="9" t="s">
        <v>379</v>
      </c>
      <c r="M34" s="9" t="s">
        <v>380</v>
      </c>
    </row>
    <row r="35" spans="1:13" ht="26.4" x14ac:dyDescent="0.3">
      <c r="A35" s="9" t="s">
        <v>51</v>
      </c>
      <c r="B35" s="9" t="s">
        <v>374</v>
      </c>
      <c r="C35" s="9" t="s">
        <v>381</v>
      </c>
      <c r="D35" s="9" t="s">
        <v>382</v>
      </c>
      <c r="E35" s="9" t="s">
        <v>383</v>
      </c>
      <c r="F35" s="9" t="s">
        <v>260</v>
      </c>
      <c r="G35" s="9" t="s">
        <v>213</v>
      </c>
      <c r="H35" s="9" t="s">
        <v>384</v>
      </c>
      <c r="I35" s="9" t="s">
        <v>44</v>
      </c>
      <c r="J35" s="9" t="s">
        <v>384</v>
      </c>
      <c r="K35" s="9" t="s">
        <v>206</v>
      </c>
      <c r="L35" s="9" t="s">
        <v>276</v>
      </c>
      <c r="M35" s="9" t="s">
        <v>380</v>
      </c>
    </row>
    <row r="36" spans="1:13" ht="52.8" x14ac:dyDescent="0.3">
      <c r="A36" s="9" t="s">
        <v>51</v>
      </c>
      <c r="B36" s="9" t="s">
        <v>374</v>
      </c>
      <c r="C36" s="9" t="s">
        <v>385</v>
      </c>
      <c r="D36" s="9" t="s">
        <v>386</v>
      </c>
      <c r="E36" s="9" t="s">
        <v>387</v>
      </c>
      <c r="F36" s="9" t="s">
        <v>212</v>
      </c>
      <c r="G36" s="9" t="s">
        <v>213</v>
      </c>
      <c r="H36" s="9" t="s">
        <v>388</v>
      </c>
      <c r="I36" s="9" t="s">
        <v>44</v>
      </c>
      <c r="J36" s="9" t="s">
        <v>388</v>
      </c>
      <c r="K36" s="9" t="s">
        <v>206</v>
      </c>
      <c r="L36" s="9" t="s">
        <v>216</v>
      </c>
      <c r="M36" s="9" t="s">
        <v>380</v>
      </c>
    </row>
    <row r="37" spans="1:13" ht="26.4" x14ac:dyDescent="0.3">
      <c r="A37" s="9" t="s">
        <v>51</v>
      </c>
      <c r="B37" s="9" t="s">
        <v>374</v>
      </c>
      <c r="C37" s="9" t="s">
        <v>389</v>
      </c>
      <c r="D37" s="9" t="s">
        <v>390</v>
      </c>
      <c r="E37" s="9" t="s">
        <v>391</v>
      </c>
      <c r="F37" s="9" t="s">
        <v>260</v>
      </c>
      <c r="G37" s="9" t="s">
        <v>392</v>
      </c>
      <c r="H37" s="9" t="s">
        <v>393</v>
      </c>
      <c r="I37" s="9" t="s">
        <v>44</v>
      </c>
      <c r="J37" s="9" t="s">
        <v>393</v>
      </c>
      <c r="K37" s="9" t="s">
        <v>206</v>
      </c>
      <c r="L37" s="9" t="s">
        <v>394</v>
      </c>
      <c r="M37" s="9" t="s">
        <v>380</v>
      </c>
    </row>
    <row r="38" spans="1:13" ht="26.4" x14ac:dyDescent="0.3">
      <c r="A38" s="9" t="s">
        <v>51</v>
      </c>
      <c r="B38" s="9" t="s">
        <v>374</v>
      </c>
      <c r="C38" s="9" t="s">
        <v>395</v>
      </c>
      <c r="D38" s="9"/>
      <c r="E38" s="9" t="s">
        <v>396</v>
      </c>
      <c r="F38" s="9" t="s">
        <v>397</v>
      </c>
      <c r="G38" s="9" t="s">
        <v>398</v>
      </c>
      <c r="H38" s="9" t="s">
        <v>399</v>
      </c>
      <c r="I38" s="9" t="s">
        <v>44</v>
      </c>
      <c r="J38" s="9" t="s">
        <v>400</v>
      </c>
      <c r="K38" s="9" t="s">
        <v>206</v>
      </c>
      <c r="L38" s="9" t="s">
        <v>401</v>
      </c>
      <c r="M38" s="9" t="s">
        <v>380</v>
      </c>
    </row>
    <row r="39" spans="1:13" ht="26.4" x14ac:dyDescent="0.3">
      <c r="A39" s="9" t="s">
        <v>51</v>
      </c>
      <c r="B39" s="9" t="s">
        <v>374</v>
      </c>
      <c r="C39" s="9" t="s">
        <v>402</v>
      </c>
      <c r="D39" s="9" t="s">
        <v>403</v>
      </c>
      <c r="E39" s="9" t="s">
        <v>404</v>
      </c>
      <c r="F39" s="9" t="s">
        <v>260</v>
      </c>
      <c r="G39" s="9" t="s">
        <v>213</v>
      </c>
      <c r="H39" s="9" t="s">
        <v>405</v>
      </c>
      <c r="I39" s="9" t="s">
        <v>44</v>
      </c>
      <c r="J39" s="9" t="s">
        <v>405</v>
      </c>
      <c r="K39" s="9" t="s">
        <v>206</v>
      </c>
      <c r="L39" s="9" t="s">
        <v>406</v>
      </c>
      <c r="M39" s="9" t="s">
        <v>380</v>
      </c>
    </row>
    <row r="40" spans="1:13" ht="26.4" x14ac:dyDescent="0.3">
      <c r="A40" s="9" t="s">
        <v>51</v>
      </c>
      <c r="B40" s="9" t="s">
        <v>374</v>
      </c>
      <c r="C40" s="9" t="s">
        <v>407</v>
      </c>
      <c r="D40" s="9"/>
      <c r="E40" s="9" t="s">
        <v>408</v>
      </c>
      <c r="F40" s="9" t="s">
        <v>280</v>
      </c>
      <c r="G40" s="9" t="s">
        <v>409</v>
      </c>
      <c r="H40" s="9" t="s">
        <v>48</v>
      </c>
      <c r="I40" s="9" t="s">
        <v>44</v>
      </c>
      <c r="J40" s="9" t="s">
        <v>48</v>
      </c>
      <c r="K40" s="9" t="s">
        <v>206</v>
      </c>
      <c r="L40" s="9" t="s">
        <v>410</v>
      </c>
      <c r="M40" s="9" t="s">
        <v>380</v>
      </c>
    </row>
    <row r="41" spans="1:13" ht="39.6" x14ac:dyDescent="0.3">
      <c r="A41" s="9" t="s">
        <v>63</v>
      </c>
      <c r="B41" s="9" t="s">
        <v>411</v>
      </c>
      <c r="C41" s="9" t="s">
        <v>199</v>
      </c>
      <c r="D41" s="9" t="s">
        <v>412</v>
      </c>
      <c r="E41" s="9" t="s">
        <v>355</v>
      </c>
      <c r="F41" s="9" t="s">
        <v>202</v>
      </c>
      <c r="G41" s="9" t="s">
        <v>203</v>
      </c>
      <c r="H41" s="9" t="s">
        <v>413</v>
      </c>
      <c r="I41" s="9" t="s">
        <v>44</v>
      </c>
      <c r="J41" s="9" t="s">
        <v>205</v>
      </c>
      <c r="K41" s="9" t="s">
        <v>206</v>
      </c>
      <c r="L41" s="9" t="s">
        <v>414</v>
      </c>
      <c r="M41" s="9" t="s">
        <v>415</v>
      </c>
    </row>
    <row r="42" spans="1:13" ht="52.8" x14ac:dyDescent="0.3">
      <c r="A42" s="9" t="s">
        <v>63</v>
      </c>
      <c r="B42" s="9" t="s">
        <v>411</v>
      </c>
      <c r="C42" s="9" t="s">
        <v>416</v>
      </c>
      <c r="D42" s="9" t="s">
        <v>417</v>
      </c>
      <c r="E42" s="9" t="s">
        <v>418</v>
      </c>
      <c r="F42" s="9" t="s">
        <v>202</v>
      </c>
      <c r="G42" s="9" t="s">
        <v>213</v>
      </c>
      <c r="H42" s="9" t="s">
        <v>419</v>
      </c>
      <c r="I42" s="9" t="s">
        <v>44</v>
      </c>
      <c r="J42" s="9" t="s">
        <v>420</v>
      </c>
      <c r="K42" s="9" t="s">
        <v>206</v>
      </c>
      <c r="L42" s="9" t="s">
        <v>421</v>
      </c>
      <c r="M42" s="9" t="s">
        <v>415</v>
      </c>
    </row>
    <row r="43" spans="1:13" ht="39.6" x14ac:dyDescent="0.3">
      <c r="A43" s="9" t="s">
        <v>63</v>
      </c>
      <c r="B43" s="9" t="s">
        <v>411</v>
      </c>
      <c r="C43" s="9" t="s">
        <v>422</v>
      </c>
      <c r="D43" s="9" t="s">
        <v>423</v>
      </c>
      <c r="E43" s="9" t="s">
        <v>424</v>
      </c>
      <c r="F43" s="9" t="s">
        <v>245</v>
      </c>
      <c r="G43" s="9" t="s">
        <v>425</v>
      </c>
      <c r="H43" s="9" t="s">
        <v>426</v>
      </c>
      <c r="I43" s="9" t="s">
        <v>44</v>
      </c>
      <c r="J43" s="9" t="s">
        <v>427</v>
      </c>
      <c r="K43" s="9" t="s">
        <v>206</v>
      </c>
      <c r="L43" s="9" t="s">
        <v>428</v>
      </c>
      <c r="M43" s="9" t="s">
        <v>415</v>
      </c>
    </row>
    <row r="44" spans="1:13" ht="39.6" x14ac:dyDescent="0.3">
      <c r="A44" s="9" t="s">
        <v>63</v>
      </c>
      <c r="B44" s="9" t="s">
        <v>411</v>
      </c>
      <c r="C44" s="9" t="s">
        <v>429</v>
      </c>
      <c r="D44" s="9" t="s">
        <v>423</v>
      </c>
      <c r="E44" s="9" t="s">
        <v>430</v>
      </c>
      <c r="F44" s="9" t="s">
        <v>245</v>
      </c>
      <c r="G44" s="9" t="s">
        <v>431</v>
      </c>
      <c r="H44" s="9" t="s">
        <v>432</v>
      </c>
      <c r="I44" s="9" t="s">
        <v>44</v>
      </c>
      <c r="J44" s="9" t="s">
        <v>433</v>
      </c>
      <c r="K44" s="9" t="s">
        <v>206</v>
      </c>
      <c r="L44" s="9" t="s">
        <v>434</v>
      </c>
      <c r="M44" s="9" t="s">
        <v>415</v>
      </c>
    </row>
    <row r="45" spans="1:13" ht="39.6" x14ac:dyDescent="0.3">
      <c r="A45" s="9" t="s">
        <v>63</v>
      </c>
      <c r="B45" s="9" t="s">
        <v>411</v>
      </c>
      <c r="C45" s="9" t="s">
        <v>435</v>
      </c>
      <c r="D45" s="9" t="s">
        <v>423</v>
      </c>
      <c r="E45" s="9" t="s">
        <v>436</v>
      </c>
      <c r="F45" s="9" t="s">
        <v>245</v>
      </c>
      <c r="G45" s="9" t="s">
        <v>431</v>
      </c>
      <c r="H45" s="9" t="s">
        <v>437</v>
      </c>
      <c r="I45" s="9" t="s">
        <v>44</v>
      </c>
      <c r="J45" s="9" t="s">
        <v>438</v>
      </c>
      <c r="K45" s="9" t="s">
        <v>206</v>
      </c>
      <c r="L45" s="9" t="s">
        <v>439</v>
      </c>
      <c r="M45" s="9" t="s">
        <v>415</v>
      </c>
    </row>
    <row r="46" spans="1:13" ht="39.6" x14ac:dyDescent="0.3">
      <c r="A46" s="9" t="s">
        <v>63</v>
      </c>
      <c r="B46" s="9" t="s">
        <v>411</v>
      </c>
      <c r="C46" s="9" t="s">
        <v>440</v>
      </c>
      <c r="D46" s="9" t="s">
        <v>423</v>
      </c>
      <c r="E46" s="9" t="s">
        <v>441</v>
      </c>
      <c r="F46" s="9" t="s">
        <v>245</v>
      </c>
      <c r="G46" s="9" t="s">
        <v>442</v>
      </c>
      <c r="H46" s="9" t="s">
        <v>443</v>
      </c>
      <c r="I46" s="9" t="s">
        <v>44</v>
      </c>
      <c r="J46" s="9" t="s">
        <v>444</v>
      </c>
      <c r="K46" s="9" t="s">
        <v>206</v>
      </c>
      <c r="L46" s="9" t="s">
        <v>445</v>
      </c>
      <c r="M46" s="9" t="s">
        <v>415</v>
      </c>
    </row>
    <row r="47" spans="1:13" ht="39.6" x14ac:dyDescent="0.3">
      <c r="A47" s="9" t="s">
        <v>63</v>
      </c>
      <c r="B47" s="9" t="s">
        <v>411</v>
      </c>
      <c r="C47" s="9" t="s">
        <v>446</v>
      </c>
      <c r="D47" s="9" t="s">
        <v>423</v>
      </c>
      <c r="E47" s="9" t="s">
        <v>447</v>
      </c>
      <c r="F47" s="9" t="s">
        <v>260</v>
      </c>
      <c r="G47" s="9" t="s">
        <v>448</v>
      </c>
      <c r="H47" s="9" t="s">
        <v>449</v>
      </c>
      <c r="I47" s="9" t="s">
        <v>44</v>
      </c>
      <c r="J47" s="9" t="s">
        <v>450</v>
      </c>
      <c r="K47" s="9" t="s">
        <v>206</v>
      </c>
      <c r="L47" s="9" t="s">
        <v>451</v>
      </c>
      <c r="M47" s="9" t="s">
        <v>415</v>
      </c>
    </row>
    <row r="48" spans="1:13" ht="39.6" x14ac:dyDescent="0.3">
      <c r="A48" s="9" t="s">
        <v>74</v>
      </c>
      <c r="B48" s="9" t="s">
        <v>452</v>
      </c>
      <c r="C48" s="9" t="s">
        <v>453</v>
      </c>
      <c r="D48" s="9" t="s">
        <v>453</v>
      </c>
      <c r="E48" s="9" t="s">
        <v>454</v>
      </c>
      <c r="F48" s="9" t="s">
        <v>202</v>
      </c>
      <c r="G48" s="9" t="s">
        <v>213</v>
      </c>
      <c r="H48" s="9" t="s">
        <v>455</v>
      </c>
      <c r="I48" s="9" t="s">
        <v>44</v>
      </c>
      <c r="J48" s="9" t="s">
        <v>456</v>
      </c>
      <c r="K48" s="9" t="s">
        <v>206</v>
      </c>
      <c r="L48" s="9" t="s">
        <v>216</v>
      </c>
      <c r="M48" s="9" t="s">
        <v>457</v>
      </c>
    </row>
    <row r="49" spans="1:13" ht="39.6" x14ac:dyDescent="0.3">
      <c r="A49" s="9" t="s">
        <v>74</v>
      </c>
      <c r="B49" s="9" t="s">
        <v>452</v>
      </c>
      <c r="C49" s="9" t="s">
        <v>458</v>
      </c>
      <c r="D49" s="9" t="s">
        <v>459</v>
      </c>
      <c r="E49" s="9" t="s">
        <v>460</v>
      </c>
      <c r="F49" s="9" t="s">
        <v>212</v>
      </c>
      <c r="G49" s="9" t="s">
        <v>213</v>
      </c>
      <c r="H49" s="9" t="s">
        <v>461</v>
      </c>
      <c r="I49" s="9" t="s">
        <v>44</v>
      </c>
      <c r="J49" s="9" t="s">
        <v>462</v>
      </c>
      <c r="K49" s="9" t="s">
        <v>206</v>
      </c>
      <c r="L49" s="9" t="s">
        <v>216</v>
      </c>
      <c r="M49" s="9" t="s">
        <v>457</v>
      </c>
    </row>
    <row r="50" spans="1:13" ht="39.6" x14ac:dyDescent="0.3">
      <c r="A50" s="9" t="s">
        <v>74</v>
      </c>
      <c r="B50" s="9" t="s">
        <v>452</v>
      </c>
      <c r="C50" s="9" t="s">
        <v>463</v>
      </c>
      <c r="D50" s="9" t="s">
        <v>464</v>
      </c>
      <c r="E50" s="9" t="s">
        <v>464</v>
      </c>
      <c r="F50" s="9" t="s">
        <v>212</v>
      </c>
      <c r="G50" s="9" t="s">
        <v>213</v>
      </c>
      <c r="H50" s="9" t="s">
        <v>465</v>
      </c>
      <c r="I50" s="9" t="s">
        <v>44</v>
      </c>
      <c r="J50" s="9" t="s">
        <v>466</v>
      </c>
      <c r="K50" s="9" t="s">
        <v>206</v>
      </c>
      <c r="L50" s="9" t="s">
        <v>467</v>
      </c>
      <c r="M50" s="9" t="s">
        <v>457</v>
      </c>
    </row>
    <row r="51" spans="1:13" ht="39.6" x14ac:dyDescent="0.3">
      <c r="A51" s="9" t="s">
        <v>74</v>
      </c>
      <c r="B51" s="9" t="s">
        <v>452</v>
      </c>
      <c r="C51" s="9" t="s">
        <v>468</v>
      </c>
      <c r="D51" s="9" t="s">
        <v>469</v>
      </c>
      <c r="E51" s="9" t="s">
        <v>470</v>
      </c>
      <c r="F51" s="9" t="s">
        <v>202</v>
      </c>
      <c r="G51" s="9" t="s">
        <v>213</v>
      </c>
      <c r="H51" s="9" t="s">
        <v>471</v>
      </c>
      <c r="I51" s="9" t="s">
        <v>44</v>
      </c>
      <c r="J51" s="9" t="s">
        <v>472</v>
      </c>
      <c r="K51" s="9" t="s">
        <v>206</v>
      </c>
      <c r="L51" s="9" t="s">
        <v>276</v>
      </c>
      <c r="M51" s="9" t="s">
        <v>457</v>
      </c>
    </row>
    <row r="52" spans="1:13" ht="66" x14ac:dyDescent="0.3">
      <c r="A52" s="9" t="s">
        <v>74</v>
      </c>
      <c r="B52" s="9" t="s">
        <v>452</v>
      </c>
      <c r="C52" s="9" t="s">
        <v>473</v>
      </c>
      <c r="D52" s="9" t="s">
        <v>469</v>
      </c>
      <c r="E52" s="9" t="s">
        <v>474</v>
      </c>
      <c r="F52" s="9" t="s">
        <v>202</v>
      </c>
      <c r="G52" s="9" t="s">
        <v>213</v>
      </c>
      <c r="H52" s="9" t="s">
        <v>475</v>
      </c>
      <c r="I52" s="9" t="s">
        <v>44</v>
      </c>
      <c r="J52" s="9" t="s">
        <v>476</v>
      </c>
      <c r="K52" s="9" t="s">
        <v>206</v>
      </c>
      <c r="L52" s="9" t="s">
        <v>477</v>
      </c>
      <c r="M52" s="9" t="s">
        <v>457</v>
      </c>
    </row>
    <row r="53" spans="1:13" ht="39.6" x14ac:dyDescent="0.3">
      <c r="A53" s="9" t="s">
        <v>74</v>
      </c>
      <c r="B53" s="9" t="s">
        <v>452</v>
      </c>
      <c r="C53" s="9" t="s">
        <v>478</v>
      </c>
      <c r="D53" s="9" t="s">
        <v>479</v>
      </c>
      <c r="E53" s="9" t="s">
        <v>479</v>
      </c>
      <c r="F53" s="9" t="s">
        <v>202</v>
      </c>
      <c r="G53" s="9" t="s">
        <v>480</v>
      </c>
      <c r="H53" s="9" t="s">
        <v>481</v>
      </c>
      <c r="I53" s="9" t="s">
        <v>44</v>
      </c>
      <c r="J53" s="9" t="s">
        <v>482</v>
      </c>
      <c r="K53" s="9" t="s">
        <v>206</v>
      </c>
      <c r="L53" s="9" t="s">
        <v>483</v>
      </c>
      <c r="M53" s="9" t="s">
        <v>457</v>
      </c>
    </row>
    <row r="54" spans="1:13" ht="39.6" x14ac:dyDescent="0.3">
      <c r="A54" s="9" t="s">
        <v>74</v>
      </c>
      <c r="B54" s="9" t="s">
        <v>452</v>
      </c>
      <c r="C54" s="9" t="s">
        <v>484</v>
      </c>
      <c r="D54" s="9" t="s">
        <v>485</v>
      </c>
      <c r="E54" s="9" t="s">
        <v>486</v>
      </c>
      <c r="F54" s="9" t="s">
        <v>260</v>
      </c>
      <c r="G54" s="9" t="s">
        <v>487</v>
      </c>
      <c r="H54" s="9" t="s">
        <v>488</v>
      </c>
      <c r="I54" s="9" t="s">
        <v>44</v>
      </c>
      <c r="J54" s="9" t="s">
        <v>489</v>
      </c>
      <c r="K54" s="9" t="s">
        <v>206</v>
      </c>
      <c r="L54" s="9" t="s">
        <v>490</v>
      </c>
      <c r="M54" s="9" t="s">
        <v>457</v>
      </c>
    </row>
    <row r="55" spans="1:13" ht="39.6" x14ac:dyDescent="0.3">
      <c r="A55" s="9" t="s">
        <v>74</v>
      </c>
      <c r="B55" s="9" t="s">
        <v>491</v>
      </c>
      <c r="C55" s="9" t="s">
        <v>492</v>
      </c>
      <c r="D55" s="9" t="s">
        <v>492</v>
      </c>
      <c r="E55" s="9" t="s">
        <v>493</v>
      </c>
      <c r="F55" s="9" t="s">
        <v>202</v>
      </c>
      <c r="G55" s="9" t="s">
        <v>213</v>
      </c>
      <c r="H55" s="9" t="s">
        <v>494</v>
      </c>
      <c r="I55" s="9" t="s">
        <v>44</v>
      </c>
      <c r="J55" s="9" t="s">
        <v>495</v>
      </c>
      <c r="K55" s="9" t="s">
        <v>206</v>
      </c>
      <c r="L55" s="9" t="s">
        <v>216</v>
      </c>
      <c r="M55" s="9" t="s">
        <v>496</v>
      </c>
    </row>
    <row r="56" spans="1:13" ht="39.6" x14ac:dyDescent="0.3">
      <c r="A56" s="9" t="s">
        <v>74</v>
      </c>
      <c r="B56" s="9" t="s">
        <v>491</v>
      </c>
      <c r="C56" s="9" t="s">
        <v>209</v>
      </c>
      <c r="D56" s="9" t="s">
        <v>497</v>
      </c>
      <c r="E56" s="9" t="s">
        <v>497</v>
      </c>
      <c r="F56" s="9" t="s">
        <v>212</v>
      </c>
      <c r="G56" s="9" t="s">
        <v>213</v>
      </c>
      <c r="H56" s="9" t="s">
        <v>498</v>
      </c>
      <c r="I56" s="9" t="s">
        <v>44</v>
      </c>
      <c r="J56" s="9" t="s">
        <v>499</v>
      </c>
      <c r="K56" s="9" t="s">
        <v>206</v>
      </c>
      <c r="L56" s="9" t="s">
        <v>216</v>
      </c>
      <c r="M56" s="9" t="s">
        <v>496</v>
      </c>
    </row>
    <row r="57" spans="1:13" ht="39.6" x14ac:dyDescent="0.3">
      <c r="A57" s="9" t="s">
        <v>74</v>
      </c>
      <c r="B57" s="9" t="s">
        <v>491</v>
      </c>
      <c r="C57" s="9" t="s">
        <v>332</v>
      </c>
      <c r="D57" s="9" t="s">
        <v>500</v>
      </c>
      <c r="E57" s="9" t="s">
        <v>500</v>
      </c>
      <c r="F57" s="9" t="s">
        <v>287</v>
      </c>
      <c r="G57" s="9" t="s">
        <v>288</v>
      </c>
      <c r="H57" s="9" t="s">
        <v>501</v>
      </c>
      <c r="I57" s="9" t="s">
        <v>44</v>
      </c>
      <c r="J57" s="9" t="s">
        <v>502</v>
      </c>
      <c r="K57" s="9" t="s">
        <v>206</v>
      </c>
      <c r="L57" s="9" t="s">
        <v>256</v>
      </c>
      <c r="M57" s="9" t="s">
        <v>496</v>
      </c>
    </row>
    <row r="58" spans="1:13" ht="39.6" x14ac:dyDescent="0.3">
      <c r="A58" s="9" t="s">
        <v>74</v>
      </c>
      <c r="B58" s="9" t="s">
        <v>491</v>
      </c>
      <c r="C58" s="9" t="s">
        <v>338</v>
      </c>
      <c r="D58" s="9" t="s">
        <v>503</v>
      </c>
      <c r="E58" s="9" t="s">
        <v>503</v>
      </c>
      <c r="F58" s="9" t="s">
        <v>287</v>
      </c>
      <c r="G58" s="9" t="s">
        <v>288</v>
      </c>
      <c r="H58" s="9" t="s">
        <v>504</v>
      </c>
      <c r="I58" s="9" t="s">
        <v>44</v>
      </c>
      <c r="J58" s="9" t="s">
        <v>505</v>
      </c>
      <c r="K58" s="9" t="s">
        <v>206</v>
      </c>
      <c r="L58" s="9" t="s">
        <v>256</v>
      </c>
      <c r="M58" s="9" t="s">
        <v>496</v>
      </c>
    </row>
    <row r="59" spans="1:13" ht="39.6" x14ac:dyDescent="0.3">
      <c r="A59" s="9" t="s">
        <v>74</v>
      </c>
      <c r="B59" s="9" t="s">
        <v>491</v>
      </c>
      <c r="C59" s="9" t="s">
        <v>506</v>
      </c>
      <c r="D59" s="9" t="s">
        <v>507</v>
      </c>
      <c r="E59" s="9" t="s">
        <v>508</v>
      </c>
      <c r="F59" s="9" t="s">
        <v>202</v>
      </c>
      <c r="G59" s="9" t="s">
        <v>213</v>
      </c>
      <c r="H59" s="9" t="s">
        <v>399</v>
      </c>
      <c r="I59" s="9" t="s">
        <v>44</v>
      </c>
      <c r="J59" s="9" t="s">
        <v>509</v>
      </c>
      <c r="K59" s="9" t="s">
        <v>206</v>
      </c>
      <c r="L59" s="9" t="s">
        <v>510</v>
      </c>
      <c r="M59" s="9" t="s">
        <v>496</v>
      </c>
    </row>
    <row r="60" spans="1:13" ht="39.6" x14ac:dyDescent="0.3">
      <c r="A60" s="9" t="s">
        <v>74</v>
      </c>
      <c r="B60" s="9" t="s">
        <v>491</v>
      </c>
      <c r="C60" s="9" t="s">
        <v>511</v>
      </c>
      <c r="D60" s="9" t="s">
        <v>512</v>
      </c>
      <c r="E60" s="9" t="s">
        <v>512</v>
      </c>
      <c r="F60" s="9" t="s">
        <v>202</v>
      </c>
      <c r="G60" s="9" t="s">
        <v>213</v>
      </c>
      <c r="H60" s="9" t="s">
        <v>513</v>
      </c>
      <c r="I60" s="9" t="s">
        <v>330</v>
      </c>
      <c r="J60" s="9" t="s">
        <v>514</v>
      </c>
      <c r="K60" s="9" t="s">
        <v>206</v>
      </c>
      <c r="L60" s="9" t="s">
        <v>515</v>
      </c>
      <c r="M60" s="9" t="s">
        <v>496</v>
      </c>
    </row>
    <row r="61" spans="1:13" ht="39.6" x14ac:dyDescent="0.3">
      <c r="A61" s="9" t="s">
        <v>74</v>
      </c>
      <c r="B61" s="9" t="s">
        <v>491</v>
      </c>
      <c r="C61" s="9" t="s">
        <v>516</v>
      </c>
      <c r="D61" s="9" t="s">
        <v>517</v>
      </c>
      <c r="E61" s="9" t="s">
        <v>517</v>
      </c>
      <c r="F61" s="9" t="s">
        <v>202</v>
      </c>
      <c r="G61" s="9" t="s">
        <v>518</v>
      </c>
      <c r="H61" s="9" t="s">
        <v>471</v>
      </c>
      <c r="I61" s="9" t="s">
        <v>44</v>
      </c>
      <c r="J61" s="9" t="s">
        <v>519</v>
      </c>
      <c r="K61" s="9" t="s">
        <v>206</v>
      </c>
      <c r="L61" s="9" t="s">
        <v>510</v>
      </c>
      <c r="M61" s="9" t="s">
        <v>496</v>
      </c>
    </row>
    <row r="62" spans="1:13" ht="39.6" x14ac:dyDescent="0.3">
      <c r="A62" s="9" t="s">
        <v>74</v>
      </c>
      <c r="B62" s="9" t="s">
        <v>491</v>
      </c>
      <c r="C62" s="9" t="s">
        <v>520</v>
      </c>
      <c r="D62" s="9" t="s">
        <v>521</v>
      </c>
      <c r="E62" s="9" t="s">
        <v>522</v>
      </c>
      <c r="F62" s="9" t="s">
        <v>260</v>
      </c>
      <c r="G62" s="9" t="s">
        <v>523</v>
      </c>
      <c r="H62" s="9" t="s">
        <v>524</v>
      </c>
      <c r="I62" s="9" t="s">
        <v>44</v>
      </c>
      <c r="J62" s="9" t="s">
        <v>525</v>
      </c>
      <c r="K62" s="9" t="s">
        <v>206</v>
      </c>
      <c r="L62" s="9" t="s">
        <v>526</v>
      </c>
      <c r="M62" s="9" t="s">
        <v>496</v>
      </c>
    </row>
    <row r="63" spans="1:13" ht="39.6" x14ac:dyDescent="0.3">
      <c r="A63" s="9" t="s">
        <v>74</v>
      </c>
      <c r="B63" s="9" t="s">
        <v>491</v>
      </c>
      <c r="C63" s="9" t="s">
        <v>527</v>
      </c>
      <c r="D63" s="9" t="s">
        <v>528</v>
      </c>
      <c r="E63" s="9" t="s">
        <v>529</v>
      </c>
      <c r="F63" s="9" t="s">
        <v>260</v>
      </c>
      <c r="G63" s="9" t="s">
        <v>530</v>
      </c>
      <c r="H63" s="9" t="s">
        <v>531</v>
      </c>
      <c r="I63" s="9" t="s">
        <v>44</v>
      </c>
      <c r="J63" s="9" t="s">
        <v>532</v>
      </c>
      <c r="K63" s="9" t="s">
        <v>206</v>
      </c>
      <c r="L63" s="9" t="s">
        <v>529</v>
      </c>
      <c r="M63" s="9" t="s">
        <v>496</v>
      </c>
    </row>
    <row r="64" spans="1:13" ht="39.6" x14ac:dyDescent="0.3">
      <c r="A64" s="9" t="s">
        <v>74</v>
      </c>
      <c r="B64" s="9" t="s">
        <v>491</v>
      </c>
      <c r="C64" s="9" t="s">
        <v>533</v>
      </c>
      <c r="D64" s="9" t="s">
        <v>534</v>
      </c>
      <c r="E64" s="9" t="s">
        <v>535</v>
      </c>
      <c r="F64" s="9" t="s">
        <v>212</v>
      </c>
      <c r="G64" s="9" t="s">
        <v>213</v>
      </c>
      <c r="H64" s="9" t="s">
        <v>536</v>
      </c>
      <c r="I64" s="9" t="s">
        <v>330</v>
      </c>
      <c r="J64" s="9" t="s">
        <v>537</v>
      </c>
      <c r="K64" s="9" t="s">
        <v>206</v>
      </c>
      <c r="L64" s="9" t="s">
        <v>538</v>
      </c>
      <c r="M64" s="9" t="s">
        <v>496</v>
      </c>
    </row>
    <row r="65" spans="1:13" ht="26.4" x14ac:dyDescent="0.3">
      <c r="A65" s="9" t="s">
        <v>74</v>
      </c>
      <c r="B65" s="9" t="s">
        <v>539</v>
      </c>
      <c r="C65" s="9" t="s">
        <v>453</v>
      </c>
      <c r="D65" s="9" t="s">
        <v>453</v>
      </c>
      <c r="E65" s="9" t="s">
        <v>540</v>
      </c>
      <c r="F65" s="9" t="s">
        <v>202</v>
      </c>
      <c r="G65" s="9" t="s">
        <v>213</v>
      </c>
      <c r="H65" s="9" t="s">
        <v>455</v>
      </c>
      <c r="I65" s="9" t="s">
        <v>44</v>
      </c>
      <c r="J65" s="9" t="s">
        <v>541</v>
      </c>
      <c r="K65" s="9" t="s">
        <v>206</v>
      </c>
      <c r="L65" s="9" t="s">
        <v>216</v>
      </c>
      <c r="M65" s="9" t="s">
        <v>542</v>
      </c>
    </row>
    <row r="66" spans="1:13" ht="26.4" x14ac:dyDescent="0.3">
      <c r="A66" s="9" t="s">
        <v>74</v>
      </c>
      <c r="B66" s="9" t="s">
        <v>539</v>
      </c>
      <c r="C66" s="9" t="s">
        <v>473</v>
      </c>
      <c r="D66" s="9" t="s">
        <v>469</v>
      </c>
      <c r="E66" s="9" t="s">
        <v>543</v>
      </c>
      <c r="F66" s="9" t="s">
        <v>202</v>
      </c>
      <c r="G66" s="9" t="s">
        <v>213</v>
      </c>
      <c r="H66" s="9" t="s">
        <v>475</v>
      </c>
      <c r="I66" s="9" t="s">
        <v>44</v>
      </c>
      <c r="J66" s="9" t="s">
        <v>544</v>
      </c>
      <c r="K66" s="9" t="s">
        <v>206</v>
      </c>
      <c r="L66" s="9" t="s">
        <v>545</v>
      </c>
      <c r="M66" s="9" t="s">
        <v>542</v>
      </c>
    </row>
    <row r="67" spans="1:13" ht="26.4" x14ac:dyDescent="0.3">
      <c r="A67" s="9" t="s">
        <v>74</v>
      </c>
      <c r="B67" s="9" t="s">
        <v>539</v>
      </c>
      <c r="C67" s="9" t="s">
        <v>458</v>
      </c>
      <c r="D67" s="9" t="s">
        <v>459</v>
      </c>
      <c r="E67" s="9" t="s">
        <v>546</v>
      </c>
      <c r="F67" s="9" t="s">
        <v>212</v>
      </c>
      <c r="G67" s="9" t="s">
        <v>213</v>
      </c>
      <c r="H67" s="9" t="s">
        <v>461</v>
      </c>
      <c r="I67" s="9" t="s">
        <v>44</v>
      </c>
      <c r="J67" s="9" t="s">
        <v>541</v>
      </c>
      <c r="K67" s="9" t="s">
        <v>206</v>
      </c>
      <c r="L67" s="9" t="s">
        <v>216</v>
      </c>
      <c r="M67" s="9" t="s">
        <v>542</v>
      </c>
    </row>
    <row r="68" spans="1:13" ht="26.4" x14ac:dyDescent="0.3">
      <c r="A68" s="9" t="s">
        <v>74</v>
      </c>
      <c r="B68" s="9" t="s">
        <v>539</v>
      </c>
      <c r="C68" s="9" t="s">
        <v>478</v>
      </c>
      <c r="D68" s="9" t="s">
        <v>479</v>
      </c>
      <c r="E68" s="9" t="s">
        <v>547</v>
      </c>
      <c r="F68" s="9" t="s">
        <v>202</v>
      </c>
      <c r="G68" s="9" t="s">
        <v>480</v>
      </c>
      <c r="H68" s="9" t="s">
        <v>481</v>
      </c>
      <c r="I68" s="9" t="s">
        <v>44</v>
      </c>
      <c r="J68" s="9" t="s">
        <v>548</v>
      </c>
      <c r="K68" s="9" t="s">
        <v>206</v>
      </c>
      <c r="L68" s="9" t="s">
        <v>483</v>
      </c>
      <c r="M68" s="9" t="s">
        <v>542</v>
      </c>
    </row>
    <row r="69" spans="1:13" ht="105.6" x14ac:dyDescent="0.3">
      <c r="A69" s="9" t="s">
        <v>74</v>
      </c>
      <c r="B69" s="9" t="s">
        <v>539</v>
      </c>
      <c r="C69" s="9" t="s">
        <v>296</v>
      </c>
      <c r="D69" s="9" t="s">
        <v>549</v>
      </c>
      <c r="E69" s="9" t="s">
        <v>550</v>
      </c>
      <c r="F69" s="9" t="s">
        <v>287</v>
      </c>
      <c r="G69" s="9" t="s">
        <v>299</v>
      </c>
      <c r="H69" s="9" t="s">
        <v>551</v>
      </c>
      <c r="I69" s="9" t="s">
        <v>44</v>
      </c>
      <c r="J69" s="9" t="s">
        <v>552</v>
      </c>
      <c r="K69" s="9" t="s">
        <v>206</v>
      </c>
      <c r="L69" s="9" t="s">
        <v>553</v>
      </c>
      <c r="M69" s="9" t="s">
        <v>542</v>
      </c>
    </row>
    <row r="70" spans="1:13" ht="26.4" x14ac:dyDescent="0.3">
      <c r="A70" s="9" t="s">
        <v>74</v>
      </c>
      <c r="B70" s="9" t="s">
        <v>554</v>
      </c>
      <c r="C70" s="9" t="s">
        <v>555</v>
      </c>
      <c r="D70" s="9" t="s">
        <v>556</v>
      </c>
      <c r="E70" s="9" t="s">
        <v>556</v>
      </c>
      <c r="F70" s="9" t="s">
        <v>212</v>
      </c>
      <c r="G70" s="9" t="s">
        <v>213</v>
      </c>
      <c r="H70" s="9" t="s">
        <v>557</v>
      </c>
      <c r="I70" s="9" t="s">
        <v>44</v>
      </c>
      <c r="J70" s="9" t="s">
        <v>557</v>
      </c>
      <c r="K70" s="9" t="s">
        <v>206</v>
      </c>
      <c r="L70" s="9" t="s">
        <v>216</v>
      </c>
      <c r="M70" s="9" t="s">
        <v>558</v>
      </c>
    </row>
    <row r="71" spans="1:13" ht="26.4" x14ac:dyDescent="0.3">
      <c r="A71" s="9" t="s">
        <v>74</v>
      </c>
      <c r="B71" s="9" t="s">
        <v>554</v>
      </c>
      <c r="C71" s="9" t="s">
        <v>559</v>
      </c>
      <c r="D71" s="9" t="s">
        <v>560</v>
      </c>
      <c r="E71" s="9" t="s">
        <v>560</v>
      </c>
      <c r="F71" s="9" t="s">
        <v>212</v>
      </c>
      <c r="G71" s="9" t="s">
        <v>213</v>
      </c>
      <c r="H71" s="9" t="s">
        <v>561</v>
      </c>
      <c r="I71" s="9" t="s">
        <v>44</v>
      </c>
      <c r="J71" s="9" t="s">
        <v>561</v>
      </c>
      <c r="K71" s="9" t="s">
        <v>206</v>
      </c>
      <c r="L71" s="9" t="s">
        <v>216</v>
      </c>
      <c r="M71" s="9" t="s">
        <v>558</v>
      </c>
    </row>
    <row r="72" spans="1:13" ht="26.4" x14ac:dyDescent="0.3">
      <c r="A72" s="9" t="s">
        <v>74</v>
      </c>
      <c r="B72" s="9" t="s">
        <v>554</v>
      </c>
      <c r="C72" s="9" t="s">
        <v>562</v>
      </c>
      <c r="D72" s="9" t="s">
        <v>563</v>
      </c>
      <c r="E72" s="9" t="s">
        <v>564</v>
      </c>
      <c r="F72" s="9" t="s">
        <v>280</v>
      </c>
      <c r="G72" s="9" t="s">
        <v>409</v>
      </c>
      <c r="H72" s="9" t="s">
        <v>565</v>
      </c>
      <c r="I72" s="9" t="s">
        <v>44</v>
      </c>
      <c r="J72" s="9" t="s">
        <v>565</v>
      </c>
      <c r="K72" s="9" t="s">
        <v>206</v>
      </c>
      <c r="L72" s="9" t="s">
        <v>566</v>
      </c>
      <c r="M72" s="9" t="s">
        <v>558</v>
      </c>
    </row>
    <row r="73" spans="1:13" ht="26.4" x14ac:dyDescent="0.3">
      <c r="A73" s="9" t="s">
        <v>74</v>
      </c>
      <c r="B73" s="9" t="s">
        <v>554</v>
      </c>
      <c r="C73" s="9" t="s">
        <v>567</v>
      </c>
      <c r="D73" s="9" t="s">
        <v>568</v>
      </c>
      <c r="E73" s="9" t="s">
        <v>569</v>
      </c>
      <c r="F73" s="9" t="s">
        <v>280</v>
      </c>
      <c r="G73" s="9" t="s">
        <v>409</v>
      </c>
      <c r="H73" s="9" t="s">
        <v>570</v>
      </c>
      <c r="I73" s="9" t="s">
        <v>44</v>
      </c>
      <c r="J73" s="9" t="s">
        <v>570</v>
      </c>
      <c r="K73" s="9" t="s">
        <v>206</v>
      </c>
      <c r="L73" s="9" t="s">
        <v>571</v>
      </c>
      <c r="M73" s="9" t="s">
        <v>558</v>
      </c>
    </row>
    <row r="74" spans="1:13" ht="26.4" x14ac:dyDescent="0.3">
      <c r="A74" s="9" t="s">
        <v>74</v>
      </c>
      <c r="B74" s="9" t="s">
        <v>554</v>
      </c>
      <c r="C74" s="9" t="s">
        <v>572</v>
      </c>
      <c r="D74" s="9"/>
      <c r="E74" s="9" t="s">
        <v>573</v>
      </c>
      <c r="F74" s="9" t="s">
        <v>280</v>
      </c>
      <c r="G74" s="9" t="s">
        <v>409</v>
      </c>
      <c r="H74" s="9" t="s">
        <v>574</v>
      </c>
      <c r="I74" s="9" t="s">
        <v>44</v>
      </c>
      <c r="J74" s="9" t="s">
        <v>574</v>
      </c>
      <c r="K74" s="9" t="s">
        <v>206</v>
      </c>
      <c r="L74" s="9" t="s">
        <v>575</v>
      </c>
      <c r="M74" s="9" t="s">
        <v>558</v>
      </c>
    </row>
    <row r="75" spans="1:13" ht="26.4" x14ac:dyDescent="0.3">
      <c r="A75" s="9" t="s">
        <v>74</v>
      </c>
      <c r="B75" s="9" t="s">
        <v>554</v>
      </c>
      <c r="C75" s="9" t="s">
        <v>484</v>
      </c>
      <c r="D75" s="9" t="s">
        <v>485</v>
      </c>
      <c r="E75" s="9" t="s">
        <v>576</v>
      </c>
      <c r="F75" s="9" t="s">
        <v>260</v>
      </c>
      <c r="G75" s="9" t="s">
        <v>577</v>
      </c>
      <c r="H75" s="9" t="s">
        <v>578</v>
      </c>
      <c r="I75" s="9" t="s">
        <v>44</v>
      </c>
      <c r="J75" s="9" t="s">
        <v>578</v>
      </c>
      <c r="K75" s="9" t="s">
        <v>206</v>
      </c>
      <c r="L75" s="9" t="s">
        <v>576</v>
      </c>
      <c r="M75" s="9" t="s">
        <v>558</v>
      </c>
    </row>
    <row r="76" spans="1:13" ht="26.4" x14ac:dyDescent="0.3">
      <c r="A76" s="9" t="s">
        <v>74</v>
      </c>
      <c r="B76" s="9" t="s">
        <v>554</v>
      </c>
      <c r="C76" s="9" t="s">
        <v>579</v>
      </c>
      <c r="D76" s="9" t="s">
        <v>521</v>
      </c>
      <c r="E76" s="9" t="s">
        <v>580</v>
      </c>
      <c r="F76" s="9" t="s">
        <v>260</v>
      </c>
      <c r="G76" s="9" t="s">
        <v>581</v>
      </c>
      <c r="H76" s="9" t="s">
        <v>582</v>
      </c>
      <c r="I76" s="9" t="s">
        <v>44</v>
      </c>
      <c r="J76" s="9" t="s">
        <v>582</v>
      </c>
      <c r="K76" s="9" t="s">
        <v>206</v>
      </c>
      <c r="L76" s="9" t="s">
        <v>583</v>
      </c>
      <c r="M76" s="9" t="s">
        <v>558</v>
      </c>
    </row>
    <row r="77" spans="1:13" ht="39.6" x14ac:dyDescent="0.3">
      <c r="A77" s="9" t="s">
        <v>84</v>
      </c>
      <c r="B77" s="9" t="s">
        <v>584</v>
      </c>
      <c r="C77" s="9" t="s">
        <v>585</v>
      </c>
      <c r="D77" s="9" t="s">
        <v>312</v>
      </c>
      <c r="E77" s="9" t="s">
        <v>586</v>
      </c>
      <c r="F77" s="9" t="s">
        <v>202</v>
      </c>
      <c r="G77" s="9" t="s">
        <v>213</v>
      </c>
      <c r="H77" s="9" t="s">
        <v>587</v>
      </c>
      <c r="I77" s="9" t="s">
        <v>44</v>
      </c>
      <c r="J77" s="9" t="s">
        <v>588</v>
      </c>
      <c r="K77" s="9" t="s">
        <v>206</v>
      </c>
      <c r="L77" s="9" t="s">
        <v>216</v>
      </c>
      <c r="M77" s="9" t="s">
        <v>589</v>
      </c>
    </row>
    <row r="78" spans="1:13" ht="26.4" x14ac:dyDescent="0.3">
      <c r="A78" s="9" t="s">
        <v>84</v>
      </c>
      <c r="B78" s="9" t="s">
        <v>584</v>
      </c>
      <c r="C78" s="9" t="s">
        <v>590</v>
      </c>
      <c r="D78" s="9" t="s">
        <v>591</v>
      </c>
      <c r="E78" s="9" t="s">
        <v>592</v>
      </c>
      <c r="F78" s="9" t="s">
        <v>202</v>
      </c>
      <c r="G78" s="9" t="s">
        <v>213</v>
      </c>
      <c r="H78" s="9" t="s">
        <v>593</v>
      </c>
      <c r="I78" s="9" t="s">
        <v>44</v>
      </c>
      <c r="J78" s="9" t="s">
        <v>594</v>
      </c>
      <c r="K78" s="9" t="s">
        <v>206</v>
      </c>
      <c r="L78" s="9" t="s">
        <v>216</v>
      </c>
      <c r="M78" s="9" t="s">
        <v>589</v>
      </c>
    </row>
    <row r="79" spans="1:13" ht="26.4" x14ac:dyDescent="0.3">
      <c r="A79" s="9" t="s">
        <v>84</v>
      </c>
      <c r="B79" s="9" t="s">
        <v>584</v>
      </c>
      <c r="C79" s="9" t="s">
        <v>595</v>
      </c>
      <c r="D79" s="9" t="s">
        <v>596</v>
      </c>
      <c r="E79" s="9" t="s">
        <v>597</v>
      </c>
      <c r="F79" s="9" t="s">
        <v>202</v>
      </c>
      <c r="G79" s="9" t="s">
        <v>213</v>
      </c>
      <c r="H79" s="9" t="s">
        <v>598</v>
      </c>
      <c r="I79" s="9" t="s">
        <v>330</v>
      </c>
      <c r="J79" s="9" t="s">
        <v>599</v>
      </c>
      <c r="K79" s="9" t="s">
        <v>206</v>
      </c>
      <c r="L79" s="9" t="s">
        <v>515</v>
      </c>
      <c r="M79" s="9" t="s">
        <v>589</v>
      </c>
    </row>
    <row r="80" spans="1:13" ht="39.6" x14ac:dyDescent="0.3">
      <c r="A80" s="9" t="s">
        <v>84</v>
      </c>
      <c r="B80" s="9" t="s">
        <v>584</v>
      </c>
      <c r="C80" s="9" t="s">
        <v>600</v>
      </c>
      <c r="D80" s="9" t="s">
        <v>601</v>
      </c>
      <c r="E80" s="9" t="s">
        <v>602</v>
      </c>
      <c r="F80" s="9" t="s">
        <v>212</v>
      </c>
      <c r="G80" s="9" t="s">
        <v>213</v>
      </c>
      <c r="H80" s="9" t="s">
        <v>603</v>
      </c>
      <c r="I80" s="9" t="s">
        <v>44</v>
      </c>
      <c r="J80" s="9" t="s">
        <v>604</v>
      </c>
      <c r="K80" s="9" t="s">
        <v>206</v>
      </c>
      <c r="L80" s="9" t="s">
        <v>216</v>
      </c>
      <c r="M80" s="9" t="s">
        <v>589</v>
      </c>
    </row>
    <row r="81" spans="1:13" ht="26.4" x14ac:dyDescent="0.3">
      <c r="A81" s="9" t="s">
        <v>84</v>
      </c>
      <c r="B81" s="9" t="s">
        <v>584</v>
      </c>
      <c r="C81" s="9" t="s">
        <v>605</v>
      </c>
      <c r="D81" s="9" t="s">
        <v>606</v>
      </c>
      <c r="E81" s="9" t="s">
        <v>606</v>
      </c>
      <c r="F81" s="9" t="s">
        <v>202</v>
      </c>
      <c r="G81" s="9" t="s">
        <v>213</v>
      </c>
      <c r="H81" s="9" t="s">
        <v>607</v>
      </c>
      <c r="I81" s="9" t="s">
        <v>44</v>
      </c>
      <c r="J81" s="9" t="s">
        <v>607</v>
      </c>
      <c r="K81" s="9" t="s">
        <v>206</v>
      </c>
      <c r="L81" s="9" t="s">
        <v>216</v>
      </c>
      <c r="M81" s="9" t="s">
        <v>589</v>
      </c>
    </row>
    <row r="82" spans="1:13" ht="26.4" x14ac:dyDescent="0.3">
      <c r="A82" s="9" t="s">
        <v>84</v>
      </c>
      <c r="B82" s="9" t="s">
        <v>584</v>
      </c>
      <c r="C82" s="9" t="s">
        <v>608</v>
      </c>
      <c r="D82" s="9" t="s">
        <v>609</v>
      </c>
      <c r="E82" s="9" t="s">
        <v>610</v>
      </c>
      <c r="F82" s="9" t="s">
        <v>202</v>
      </c>
      <c r="G82" s="9" t="s">
        <v>213</v>
      </c>
      <c r="H82" s="9" t="s">
        <v>611</v>
      </c>
      <c r="I82" s="9" t="s">
        <v>44</v>
      </c>
      <c r="J82" s="9" t="s">
        <v>612</v>
      </c>
      <c r="K82" s="9" t="s">
        <v>206</v>
      </c>
      <c r="L82" s="9" t="s">
        <v>216</v>
      </c>
      <c r="M82" s="9" t="s">
        <v>589</v>
      </c>
    </row>
    <row r="83" spans="1:13" ht="198" x14ac:dyDescent="0.3">
      <c r="A83" s="9" t="s">
        <v>84</v>
      </c>
      <c r="B83" s="9" t="s">
        <v>584</v>
      </c>
      <c r="C83" s="9" t="s">
        <v>613</v>
      </c>
      <c r="D83" s="9" t="s">
        <v>614</v>
      </c>
      <c r="E83" s="9" t="s">
        <v>614</v>
      </c>
      <c r="F83" s="9" t="s">
        <v>212</v>
      </c>
      <c r="G83" s="9" t="s">
        <v>213</v>
      </c>
      <c r="H83" s="9" t="s">
        <v>77</v>
      </c>
      <c r="I83" s="9" t="s">
        <v>44</v>
      </c>
      <c r="J83" s="9" t="s">
        <v>615</v>
      </c>
      <c r="K83" s="9" t="s">
        <v>206</v>
      </c>
      <c r="L83" s="9" t="s">
        <v>216</v>
      </c>
      <c r="M83" s="9" t="s">
        <v>589</v>
      </c>
    </row>
    <row r="84" spans="1:13" ht="66" x14ac:dyDescent="0.3">
      <c r="A84" s="9" t="s">
        <v>84</v>
      </c>
      <c r="B84" s="9" t="s">
        <v>584</v>
      </c>
      <c r="C84" s="9" t="s">
        <v>616</v>
      </c>
      <c r="D84" s="9" t="s">
        <v>617</v>
      </c>
      <c r="E84" s="9" t="s">
        <v>618</v>
      </c>
      <c r="F84" s="9" t="s">
        <v>212</v>
      </c>
      <c r="G84" s="9" t="s">
        <v>213</v>
      </c>
      <c r="H84" s="9" t="s">
        <v>619</v>
      </c>
      <c r="I84" s="9" t="s">
        <v>330</v>
      </c>
      <c r="J84" s="9" t="s">
        <v>620</v>
      </c>
      <c r="K84" s="9" t="s">
        <v>206</v>
      </c>
      <c r="L84" s="9" t="s">
        <v>515</v>
      </c>
      <c r="M84" s="9" t="s">
        <v>589</v>
      </c>
    </row>
    <row r="85" spans="1:13" ht="26.4" x14ac:dyDescent="0.3">
      <c r="A85" s="9" t="s">
        <v>84</v>
      </c>
      <c r="B85" s="9" t="s">
        <v>584</v>
      </c>
      <c r="C85" s="9" t="s">
        <v>621</v>
      </c>
      <c r="D85" s="9" t="s">
        <v>622</v>
      </c>
      <c r="E85" s="9" t="s">
        <v>623</v>
      </c>
      <c r="F85" s="9" t="s">
        <v>397</v>
      </c>
      <c r="G85" s="9" t="s">
        <v>398</v>
      </c>
      <c r="H85" s="9" t="s">
        <v>399</v>
      </c>
      <c r="I85" s="9" t="s">
        <v>44</v>
      </c>
      <c r="J85" s="9" t="s">
        <v>400</v>
      </c>
      <c r="K85" s="9" t="s">
        <v>206</v>
      </c>
      <c r="L85" s="9" t="s">
        <v>624</v>
      </c>
      <c r="M85" s="9" t="s">
        <v>589</v>
      </c>
    </row>
    <row r="86" spans="1:13" ht="52.8" x14ac:dyDescent="0.3">
      <c r="A86" s="9" t="s">
        <v>84</v>
      </c>
      <c r="B86" s="9" t="s">
        <v>584</v>
      </c>
      <c r="C86" s="9" t="s">
        <v>625</v>
      </c>
      <c r="D86" s="9" t="s">
        <v>626</v>
      </c>
      <c r="E86" s="9" t="s">
        <v>627</v>
      </c>
      <c r="F86" s="9" t="s">
        <v>287</v>
      </c>
      <c r="G86" s="9" t="s">
        <v>213</v>
      </c>
      <c r="H86" s="9" t="s">
        <v>628</v>
      </c>
      <c r="I86" s="9" t="s">
        <v>44</v>
      </c>
      <c r="J86" s="9" t="s">
        <v>629</v>
      </c>
      <c r="K86" s="9" t="s">
        <v>206</v>
      </c>
      <c r="L86" s="9" t="s">
        <v>630</v>
      </c>
      <c r="M86" s="9" t="s">
        <v>589</v>
      </c>
    </row>
    <row r="87" spans="1:13" ht="52.8" x14ac:dyDescent="0.3">
      <c r="A87" s="9" t="s">
        <v>84</v>
      </c>
      <c r="B87" s="9" t="s">
        <v>584</v>
      </c>
      <c r="C87" s="9" t="s">
        <v>631</v>
      </c>
      <c r="D87" s="9" t="s">
        <v>632</v>
      </c>
      <c r="E87" s="9" t="s">
        <v>633</v>
      </c>
      <c r="F87" s="9" t="s">
        <v>280</v>
      </c>
      <c r="G87" s="9" t="s">
        <v>409</v>
      </c>
      <c r="H87" s="9" t="s">
        <v>634</v>
      </c>
      <c r="I87" s="9" t="s">
        <v>44</v>
      </c>
      <c r="J87" s="9" t="s">
        <v>635</v>
      </c>
      <c r="K87" s="9" t="s">
        <v>206</v>
      </c>
      <c r="L87" s="9" t="s">
        <v>216</v>
      </c>
      <c r="M87" s="9" t="s">
        <v>589</v>
      </c>
    </row>
    <row r="88" spans="1:13" ht="39.6" x14ac:dyDescent="0.3">
      <c r="A88" s="9" t="s">
        <v>36</v>
      </c>
      <c r="B88" s="9" t="s">
        <v>636</v>
      </c>
      <c r="C88" s="9" t="s">
        <v>637</v>
      </c>
      <c r="D88" s="9" t="s">
        <v>1203</v>
      </c>
      <c r="E88" s="9" t="s">
        <v>1204</v>
      </c>
      <c r="F88" s="9" t="s">
        <v>202</v>
      </c>
      <c r="G88" s="9" t="s">
        <v>213</v>
      </c>
      <c r="H88" s="9" t="s">
        <v>1205</v>
      </c>
      <c r="I88" s="9" t="s">
        <v>44</v>
      </c>
      <c r="J88" s="9" t="s">
        <v>1206</v>
      </c>
      <c r="K88" s="9" t="s">
        <v>206</v>
      </c>
      <c r="L88" s="9" t="s">
        <v>1207</v>
      </c>
      <c r="M88" s="9" t="s">
        <v>638</v>
      </c>
    </row>
    <row r="89" spans="1:13" ht="132" x14ac:dyDescent="0.3">
      <c r="A89" s="9" t="s">
        <v>36</v>
      </c>
      <c r="B89" s="9" t="s">
        <v>636</v>
      </c>
      <c r="C89" s="9" t="s">
        <v>209</v>
      </c>
      <c r="D89" s="9" t="s">
        <v>210</v>
      </c>
      <c r="E89" s="9" t="s">
        <v>1208</v>
      </c>
      <c r="F89" s="9" t="s">
        <v>212</v>
      </c>
      <c r="G89" s="9" t="s">
        <v>213</v>
      </c>
      <c r="H89" s="9" t="s">
        <v>1209</v>
      </c>
      <c r="I89" s="9" t="s">
        <v>330</v>
      </c>
      <c r="J89" s="9" t="s">
        <v>1210</v>
      </c>
      <c r="K89" s="9" t="s">
        <v>206</v>
      </c>
      <c r="L89" s="9" t="s">
        <v>1211</v>
      </c>
      <c r="M89" s="9" t="s">
        <v>638</v>
      </c>
    </row>
    <row r="90" spans="1:13" ht="26.4" x14ac:dyDescent="0.3">
      <c r="A90" s="9" t="s">
        <v>36</v>
      </c>
      <c r="B90" s="9" t="s">
        <v>636</v>
      </c>
      <c r="C90" s="9" t="s">
        <v>332</v>
      </c>
      <c r="D90" s="9" t="s">
        <v>332</v>
      </c>
      <c r="E90" s="9" t="s">
        <v>1212</v>
      </c>
      <c r="F90" s="9" t="s">
        <v>287</v>
      </c>
      <c r="G90" s="9" t="s">
        <v>288</v>
      </c>
      <c r="H90" s="9" t="s">
        <v>1213</v>
      </c>
      <c r="I90" s="9" t="s">
        <v>44</v>
      </c>
      <c r="J90" s="9" t="s">
        <v>640</v>
      </c>
      <c r="K90" s="9" t="s">
        <v>206</v>
      </c>
      <c r="L90" s="9" t="s">
        <v>216</v>
      </c>
      <c r="M90" s="9" t="s">
        <v>638</v>
      </c>
    </row>
    <row r="91" spans="1:13" ht="26.4" x14ac:dyDescent="0.3">
      <c r="A91" s="9" t="s">
        <v>36</v>
      </c>
      <c r="B91" s="9" t="s">
        <v>636</v>
      </c>
      <c r="C91" s="9" t="s">
        <v>338</v>
      </c>
      <c r="D91" s="9" t="s">
        <v>338</v>
      </c>
      <c r="E91" s="9" t="s">
        <v>1214</v>
      </c>
      <c r="F91" s="9" t="s">
        <v>287</v>
      </c>
      <c r="G91" s="9" t="s">
        <v>288</v>
      </c>
      <c r="H91" s="9" t="s">
        <v>1215</v>
      </c>
      <c r="I91" s="9" t="s">
        <v>44</v>
      </c>
      <c r="J91" s="9" t="s">
        <v>641</v>
      </c>
      <c r="K91" s="9" t="s">
        <v>206</v>
      </c>
      <c r="L91" s="9" t="s">
        <v>216</v>
      </c>
      <c r="M91" s="9" t="s">
        <v>638</v>
      </c>
    </row>
    <row r="92" spans="1:13" ht="52.8" x14ac:dyDescent="0.3">
      <c r="A92" s="9" t="s">
        <v>36</v>
      </c>
      <c r="B92" s="9" t="s">
        <v>636</v>
      </c>
      <c r="C92" s="9" t="s">
        <v>1216</v>
      </c>
      <c r="D92" s="9" t="s">
        <v>213</v>
      </c>
      <c r="E92" s="9" t="s">
        <v>1217</v>
      </c>
      <c r="F92" s="9" t="s">
        <v>202</v>
      </c>
      <c r="G92" s="9" t="s">
        <v>213</v>
      </c>
      <c r="H92" s="9" t="s">
        <v>1218</v>
      </c>
      <c r="I92" s="9" t="s">
        <v>44</v>
      </c>
      <c r="J92" s="9" t="s">
        <v>1218</v>
      </c>
      <c r="K92" s="9" t="s">
        <v>206</v>
      </c>
      <c r="L92" s="9" t="s">
        <v>1219</v>
      </c>
      <c r="M92" s="9" t="s">
        <v>638</v>
      </c>
    </row>
    <row r="93" spans="1:13" ht="39.6" x14ac:dyDescent="0.3">
      <c r="A93" s="9" t="s">
        <v>36</v>
      </c>
      <c r="B93" s="9" t="s">
        <v>636</v>
      </c>
      <c r="C93" s="9" t="s">
        <v>199</v>
      </c>
      <c r="D93" s="9" t="s">
        <v>213</v>
      </c>
      <c r="E93" s="9" t="s">
        <v>1220</v>
      </c>
      <c r="F93" s="9" t="s">
        <v>202</v>
      </c>
      <c r="G93" s="9" t="s">
        <v>203</v>
      </c>
      <c r="H93" s="9" t="s">
        <v>1221</v>
      </c>
      <c r="I93" s="9" t="s">
        <v>330</v>
      </c>
      <c r="J93" s="9" t="s">
        <v>205</v>
      </c>
      <c r="K93" s="9" t="s">
        <v>206</v>
      </c>
      <c r="L93" s="9" t="s">
        <v>1222</v>
      </c>
      <c r="M93" s="9" t="s">
        <v>638</v>
      </c>
    </row>
    <row r="94" spans="1:13" ht="66" x14ac:dyDescent="0.3">
      <c r="A94" s="9" t="s">
        <v>111</v>
      </c>
      <c r="B94" s="9" t="s">
        <v>644</v>
      </c>
      <c r="C94" s="9" t="s">
        <v>645</v>
      </c>
      <c r="D94" s="9" t="s">
        <v>646</v>
      </c>
      <c r="E94" s="9" t="s">
        <v>647</v>
      </c>
      <c r="F94" s="9" t="s">
        <v>202</v>
      </c>
      <c r="G94" s="9" t="s">
        <v>213</v>
      </c>
      <c r="H94" s="9" t="s">
        <v>648</v>
      </c>
      <c r="I94" s="9" t="s">
        <v>44</v>
      </c>
      <c r="J94" s="9" t="s">
        <v>649</v>
      </c>
      <c r="K94" s="9" t="s">
        <v>206</v>
      </c>
      <c r="L94" s="9" t="s">
        <v>650</v>
      </c>
      <c r="M94" s="9" t="s">
        <v>651</v>
      </c>
    </row>
    <row r="95" spans="1:13" ht="52.8" x14ac:dyDescent="0.3">
      <c r="A95" s="9" t="s">
        <v>111</v>
      </c>
      <c r="B95" s="9" t="s">
        <v>644</v>
      </c>
      <c r="C95" s="9" t="s">
        <v>652</v>
      </c>
      <c r="D95" s="9" t="s">
        <v>653</v>
      </c>
      <c r="E95" s="9" t="s">
        <v>654</v>
      </c>
      <c r="F95" s="9" t="s">
        <v>202</v>
      </c>
      <c r="G95" s="9" t="s">
        <v>213</v>
      </c>
      <c r="H95" s="9" t="s">
        <v>655</v>
      </c>
      <c r="I95" s="9" t="s">
        <v>44</v>
      </c>
      <c r="J95" s="9" t="s">
        <v>548</v>
      </c>
      <c r="K95" s="9" t="s">
        <v>206</v>
      </c>
      <c r="L95" s="9" t="s">
        <v>656</v>
      </c>
      <c r="M95" s="9" t="s">
        <v>651</v>
      </c>
    </row>
    <row r="96" spans="1:13" ht="52.8" x14ac:dyDescent="0.3">
      <c r="A96" s="9" t="s">
        <v>111</v>
      </c>
      <c r="B96" s="9" t="s">
        <v>644</v>
      </c>
      <c r="C96" s="9" t="s">
        <v>657</v>
      </c>
      <c r="D96" s="9" t="s">
        <v>658</v>
      </c>
      <c r="E96" s="9" t="s">
        <v>659</v>
      </c>
      <c r="F96" s="9" t="s">
        <v>202</v>
      </c>
      <c r="G96" s="9" t="s">
        <v>660</v>
      </c>
      <c r="H96" s="9" t="s">
        <v>661</v>
      </c>
      <c r="I96" s="9" t="s">
        <v>44</v>
      </c>
      <c r="J96" s="9" t="s">
        <v>659</v>
      </c>
      <c r="K96" s="9" t="s">
        <v>206</v>
      </c>
      <c r="L96" s="9" t="s">
        <v>662</v>
      </c>
      <c r="M96" s="9" t="s">
        <v>651</v>
      </c>
    </row>
    <row r="97" spans="1:13" ht="52.8" x14ac:dyDescent="0.3">
      <c r="A97" s="9" t="s">
        <v>111</v>
      </c>
      <c r="B97" s="9" t="s">
        <v>644</v>
      </c>
      <c r="C97" s="9" t="s">
        <v>663</v>
      </c>
      <c r="D97" s="9" t="s">
        <v>664</v>
      </c>
      <c r="E97" s="9" t="s">
        <v>665</v>
      </c>
      <c r="F97" s="9" t="s">
        <v>280</v>
      </c>
      <c r="G97" s="9" t="s">
        <v>281</v>
      </c>
      <c r="H97" s="9" t="s">
        <v>666</v>
      </c>
      <c r="I97" s="9" t="s">
        <v>44</v>
      </c>
      <c r="J97" s="9" t="s">
        <v>667</v>
      </c>
      <c r="K97" s="9" t="s">
        <v>206</v>
      </c>
      <c r="L97" s="9" t="s">
        <v>276</v>
      </c>
      <c r="M97" s="9" t="s">
        <v>651</v>
      </c>
    </row>
    <row r="98" spans="1:13" ht="52.8" x14ac:dyDescent="0.3">
      <c r="A98" s="9" t="s">
        <v>111</v>
      </c>
      <c r="B98" s="9" t="s">
        <v>644</v>
      </c>
      <c r="C98" s="9" t="s">
        <v>668</v>
      </c>
      <c r="D98" s="9" t="s">
        <v>669</v>
      </c>
      <c r="E98" s="9" t="s">
        <v>670</v>
      </c>
      <c r="F98" s="9" t="s">
        <v>202</v>
      </c>
      <c r="G98" s="9" t="s">
        <v>671</v>
      </c>
      <c r="H98" s="9" t="s">
        <v>672</v>
      </c>
      <c r="I98" s="9" t="s">
        <v>44</v>
      </c>
      <c r="J98" s="9" t="s">
        <v>673</v>
      </c>
      <c r="K98" s="9" t="s">
        <v>206</v>
      </c>
      <c r="L98" s="9" t="s">
        <v>674</v>
      </c>
      <c r="M98" s="9" t="s">
        <v>651</v>
      </c>
    </row>
    <row r="99" spans="1:13" ht="52.8" x14ac:dyDescent="0.3">
      <c r="A99" s="9" t="s">
        <v>111</v>
      </c>
      <c r="B99" s="9" t="s">
        <v>644</v>
      </c>
      <c r="C99" s="9" t="s">
        <v>675</v>
      </c>
      <c r="D99" s="9" t="s">
        <v>676</v>
      </c>
      <c r="E99" s="9" t="s">
        <v>677</v>
      </c>
      <c r="F99" s="9" t="s">
        <v>202</v>
      </c>
      <c r="G99" s="9" t="s">
        <v>213</v>
      </c>
      <c r="H99" s="9" t="s">
        <v>678</v>
      </c>
      <c r="I99" s="9" t="s">
        <v>44</v>
      </c>
      <c r="J99" s="9" t="s">
        <v>679</v>
      </c>
      <c r="K99" s="9" t="s">
        <v>206</v>
      </c>
      <c r="L99" s="9" t="s">
        <v>680</v>
      </c>
      <c r="M99" s="9" t="s">
        <v>651</v>
      </c>
    </row>
    <row r="100" spans="1:13" ht="52.8" x14ac:dyDescent="0.3">
      <c r="A100" s="9" t="s">
        <v>111</v>
      </c>
      <c r="B100" s="9" t="s">
        <v>644</v>
      </c>
      <c r="C100" s="9" t="s">
        <v>681</v>
      </c>
      <c r="D100" s="9" t="s">
        <v>682</v>
      </c>
      <c r="E100" s="9" t="s">
        <v>683</v>
      </c>
      <c r="F100" s="9" t="s">
        <v>245</v>
      </c>
      <c r="G100" s="9" t="s">
        <v>684</v>
      </c>
      <c r="H100" s="9" t="s">
        <v>685</v>
      </c>
      <c r="I100" s="9" t="s">
        <v>44</v>
      </c>
      <c r="J100" s="9" t="s">
        <v>686</v>
      </c>
      <c r="K100" s="9" t="s">
        <v>206</v>
      </c>
      <c r="L100" s="9" t="s">
        <v>687</v>
      </c>
      <c r="M100" s="9" t="s">
        <v>651</v>
      </c>
    </row>
    <row r="101" spans="1:13" ht="39.6" x14ac:dyDescent="0.3">
      <c r="A101" s="9" t="s">
        <v>118</v>
      </c>
      <c r="B101" s="9" t="s">
        <v>688</v>
      </c>
      <c r="C101" s="9" t="s">
        <v>689</v>
      </c>
      <c r="D101" s="9" t="s">
        <v>690</v>
      </c>
      <c r="E101" s="9" t="s">
        <v>691</v>
      </c>
      <c r="F101" s="9" t="s">
        <v>202</v>
      </c>
      <c r="G101" s="9" t="s">
        <v>213</v>
      </c>
      <c r="H101" s="9" t="s">
        <v>692</v>
      </c>
      <c r="I101" s="9" t="s">
        <v>44</v>
      </c>
      <c r="J101" s="9" t="s">
        <v>693</v>
      </c>
      <c r="K101" s="9" t="s">
        <v>206</v>
      </c>
      <c r="L101" s="9" t="s">
        <v>216</v>
      </c>
      <c r="M101" s="9" t="s">
        <v>694</v>
      </c>
    </row>
    <row r="102" spans="1:13" ht="39.6" x14ac:dyDescent="0.3">
      <c r="A102" s="9" t="s">
        <v>118</v>
      </c>
      <c r="B102" s="9" t="s">
        <v>688</v>
      </c>
      <c r="C102" s="9" t="s">
        <v>657</v>
      </c>
      <c r="D102" s="9" t="s">
        <v>695</v>
      </c>
      <c r="E102" s="9" t="s">
        <v>696</v>
      </c>
      <c r="F102" s="9" t="s">
        <v>202</v>
      </c>
      <c r="G102" s="9" t="s">
        <v>213</v>
      </c>
      <c r="H102" s="9" t="s">
        <v>661</v>
      </c>
      <c r="I102" s="9" t="s">
        <v>44</v>
      </c>
      <c r="J102" s="9" t="s">
        <v>697</v>
      </c>
      <c r="K102" s="9" t="s">
        <v>206</v>
      </c>
      <c r="L102" s="9" t="s">
        <v>216</v>
      </c>
      <c r="M102" s="9" t="s">
        <v>694</v>
      </c>
    </row>
    <row r="103" spans="1:13" ht="39.6" x14ac:dyDescent="0.3">
      <c r="A103" s="9" t="s">
        <v>118</v>
      </c>
      <c r="B103" s="9" t="s">
        <v>688</v>
      </c>
      <c r="C103" s="9" t="s">
        <v>698</v>
      </c>
      <c r="D103" s="9" t="s">
        <v>699</v>
      </c>
      <c r="E103" s="9" t="s">
        <v>700</v>
      </c>
      <c r="F103" s="9" t="s">
        <v>280</v>
      </c>
      <c r="G103" s="9" t="s">
        <v>213</v>
      </c>
      <c r="H103" s="9" t="s">
        <v>701</v>
      </c>
      <c r="I103" s="9" t="s">
        <v>44</v>
      </c>
      <c r="J103" s="9" t="s">
        <v>702</v>
      </c>
      <c r="K103" s="9" t="s">
        <v>206</v>
      </c>
      <c r="L103" s="9" t="s">
        <v>703</v>
      </c>
      <c r="M103" s="9" t="s">
        <v>694</v>
      </c>
    </row>
    <row r="104" spans="1:13" ht="39.6" x14ac:dyDescent="0.3">
      <c r="A104" s="9" t="s">
        <v>118</v>
      </c>
      <c r="B104" s="9" t="s">
        <v>688</v>
      </c>
      <c r="C104" s="9" t="s">
        <v>704</v>
      </c>
      <c r="D104" s="9" t="s">
        <v>705</v>
      </c>
      <c r="E104" s="9" t="s">
        <v>706</v>
      </c>
      <c r="F104" s="9" t="s">
        <v>212</v>
      </c>
      <c r="G104" s="9" t="s">
        <v>41</v>
      </c>
      <c r="H104" s="9" t="s">
        <v>707</v>
      </c>
      <c r="I104" s="9" t="s">
        <v>44</v>
      </c>
      <c r="J104" s="9" t="s">
        <v>708</v>
      </c>
      <c r="K104" s="9" t="s">
        <v>206</v>
      </c>
      <c r="L104" s="9" t="s">
        <v>709</v>
      </c>
      <c r="M104" s="9" t="s">
        <v>694</v>
      </c>
    </row>
    <row r="105" spans="1:13" ht="79.2" x14ac:dyDescent="0.3">
      <c r="A105" s="9" t="s">
        <v>118</v>
      </c>
      <c r="B105" s="9" t="s">
        <v>688</v>
      </c>
      <c r="C105" s="9" t="s">
        <v>710</v>
      </c>
      <c r="D105" s="9" t="s">
        <v>711</v>
      </c>
      <c r="E105" s="9" t="s">
        <v>712</v>
      </c>
      <c r="F105" s="9" t="s">
        <v>212</v>
      </c>
      <c r="G105" s="9" t="s">
        <v>213</v>
      </c>
      <c r="H105" s="9" t="s">
        <v>713</v>
      </c>
      <c r="I105" s="9" t="s">
        <v>44</v>
      </c>
      <c r="J105" s="9" t="s">
        <v>714</v>
      </c>
      <c r="K105" s="9" t="s">
        <v>206</v>
      </c>
      <c r="L105" s="9" t="s">
        <v>715</v>
      </c>
      <c r="M105" s="9" t="s">
        <v>694</v>
      </c>
    </row>
    <row r="106" spans="1:13" ht="39.6" x14ac:dyDescent="0.3">
      <c r="A106" s="9" t="s">
        <v>118</v>
      </c>
      <c r="B106" s="9" t="s">
        <v>688</v>
      </c>
      <c r="C106" s="9" t="s">
        <v>716</v>
      </c>
      <c r="D106" s="9" t="s">
        <v>717</v>
      </c>
      <c r="E106" s="9" t="s">
        <v>718</v>
      </c>
      <c r="F106" s="9" t="s">
        <v>202</v>
      </c>
      <c r="G106" s="9" t="s">
        <v>213</v>
      </c>
      <c r="H106" s="9" t="s">
        <v>719</v>
      </c>
      <c r="I106" s="9" t="s">
        <v>44</v>
      </c>
      <c r="J106" s="9" t="s">
        <v>482</v>
      </c>
      <c r="K106" s="9" t="s">
        <v>206</v>
      </c>
      <c r="L106" s="9" t="s">
        <v>720</v>
      </c>
      <c r="M106" s="9" t="s">
        <v>694</v>
      </c>
    </row>
    <row r="107" spans="1:13" ht="39.6" x14ac:dyDescent="0.3">
      <c r="A107" s="9" t="s">
        <v>118</v>
      </c>
      <c r="B107" s="9" t="s">
        <v>688</v>
      </c>
      <c r="C107" s="9" t="s">
        <v>681</v>
      </c>
      <c r="D107" s="9" t="s">
        <v>721</v>
      </c>
      <c r="E107" s="9" t="s">
        <v>722</v>
      </c>
      <c r="F107" s="9" t="s">
        <v>245</v>
      </c>
      <c r="G107" s="9" t="s">
        <v>723</v>
      </c>
      <c r="H107" s="9" t="s">
        <v>724</v>
      </c>
      <c r="I107" s="9" t="s">
        <v>44</v>
      </c>
      <c r="J107" s="9" t="s">
        <v>686</v>
      </c>
      <c r="K107" s="9" t="s">
        <v>206</v>
      </c>
      <c r="L107" s="9" t="s">
        <v>725</v>
      </c>
      <c r="M107" s="9" t="s">
        <v>694</v>
      </c>
    </row>
    <row r="108" spans="1:13" ht="39.6" x14ac:dyDescent="0.3">
      <c r="A108" s="9" t="s">
        <v>118</v>
      </c>
      <c r="B108" s="9" t="s">
        <v>688</v>
      </c>
      <c r="C108" s="9" t="s">
        <v>726</v>
      </c>
      <c r="D108" s="9" t="s">
        <v>727</v>
      </c>
      <c r="E108" s="9" t="s">
        <v>728</v>
      </c>
      <c r="F108" s="9" t="s">
        <v>202</v>
      </c>
      <c r="G108" s="9" t="s">
        <v>213</v>
      </c>
      <c r="H108" s="9" t="s">
        <v>729</v>
      </c>
      <c r="I108" s="9" t="s">
        <v>330</v>
      </c>
      <c r="J108" s="9" t="s">
        <v>730</v>
      </c>
      <c r="K108" s="9" t="s">
        <v>206</v>
      </c>
      <c r="L108" s="9" t="s">
        <v>216</v>
      </c>
      <c r="M108" s="9" t="s">
        <v>694</v>
      </c>
    </row>
    <row r="109" spans="1:13" ht="26.4" x14ac:dyDescent="0.3">
      <c r="A109" s="9" t="s">
        <v>100</v>
      </c>
      <c r="B109" s="9" t="s">
        <v>731</v>
      </c>
      <c r="C109" s="9" t="s">
        <v>199</v>
      </c>
      <c r="D109" s="9" t="s">
        <v>732</v>
      </c>
      <c r="E109" s="9" t="s">
        <v>355</v>
      </c>
      <c r="F109" s="9" t="s">
        <v>202</v>
      </c>
      <c r="G109" s="9" t="s">
        <v>203</v>
      </c>
      <c r="H109" s="9" t="s">
        <v>204</v>
      </c>
      <c r="I109" s="9" t="s">
        <v>44</v>
      </c>
      <c r="J109" s="9" t="s">
        <v>205</v>
      </c>
      <c r="K109" s="9" t="s">
        <v>206</v>
      </c>
      <c r="L109" s="9" t="s">
        <v>733</v>
      </c>
      <c r="M109" s="9" t="s">
        <v>734</v>
      </c>
    </row>
    <row r="110" spans="1:13" ht="26.4" x14ac:dyDescent="0.3">
      <c r="A110" s="9" t="s">
        <v>100</v>
      </c>
      <c r="B110" s="9" t="s">
        <v>731</v>
      </c>
      <c r="C110" s="9" t="s">
        <v>663</v>
      </c>
      <c r="D110" s="9" t="s">
        <v>735</v>
      </c>
      <c r="E110" s="9" t="s">
        <v>736</v>
      </c>
      <c r="F110" s="9" t="s">
        <v>280</v>
      </c>
      <c r="G110" s="9" t="s">
        <v>281</v>
      </c>
      <c r="H110" s="9" t="s">
        <v>282</v>
      </c>
      <c r="I110" s="9" t="s">
        <v>44</v>
      </c>
      <c r="J110" s="9" t="s">
        <v>737</v>
      </c>
      <c r="K110" s="9" t="s">
        <v>206</v>
      </c>
      <c r="L110" s="9" t="s">
        <v>283</v>
      </c>
      <c r="M110" s="9" t="s">
        <v>734</v>
      </c>
    </row>
    <row r="111" spans="1:13" ht="26.4" x14ac:dyDescent="0.3">
      <c r="A111" s="9" t="s">
        <v>100</v>
      </c>
      <c r="B111" s="9" t="s">
        <v>731</v>
      </c>
      <c r="C111" s="9" t="s">
        <v>237</v>
      </c>
      <c r="D111" s="9" t="s">
        <v>238</v>
      </c>
      <c r="E111" s="9" t="s">
        <v>738</v>
      </c>
      <c r="F111" s="9" t="s">
        <v>202</v>
      </c>
      <c r="G111" s="9" t="s">
        <v>213</v>
      </c>
      <c r="H111" s="9" t="s">
        <v>240</v>
      </c>
      <c r="I111" s="9" t="s">
        <v>44</v>
      </c>
      <c r="J111" s="9" t="s">
        <v>215</v>
      </c>
      <c r="K111" s="9" t="s">
        <v>206</v>
      </c>
      <c r="L111" s="9" t="s">
        <v>216</v>
      </c>
      <c r="M111" s="9" t="s">
        <v>734</v>
      </c>
    </row>
    <row r="112" spans="1:13" ht="26.4" x14ac:dyDescent="0.3">
      <c r="A112" s="9" t="s">
        <v>100</v>
      </c>
      <c r="B112" s="9" t="s">
        <v>731</v>
      </c>
      <c r="C112" s="9" t="s">
        <v>739</v>
      </c>
      <c r="D112" s="9" t="s">
        <v>251</v>
      </c>
      <c r="E112" s="9" t="s">
        <v>740</v>
      </c>
      <c r="F112" s="9" t="s">
        <v>245</v>
      </c>
      <c r="G112" s="9" t="s">
        <v>253</v>
      </c>
      <c r="H112" s="9" t="s">
        <v>254</v>
      </c>
      <c r="I112" s="9" t="s">
        <v>44</v>
      </c>
      <c r="J112" s="9" t="s">
        <v>255</v>
      </c>
      <c r="K112" s="9" t="s">
        <v>206</v>
      </c>
      <c r="L112" s="9" t="s">
        <v>256</v>
      </c>
      <c r="M112" s="9" t="s">
        <v>734</v>
      </c>
    </row>
    <row r="113" spans="1:13" ht="26.4" x14ac:dyDescent="0.3">
      <c r="A113" s="9" t="s">
        <v>100</v>
      </c>
      <c r="B113" s="9" t="s">
        <v>731</v>
      </c>
      <c r="C113" s="9" t="s">
        <v>257</v>
      </c>
      <c r="D113" s="9" t="s">
        <v>258</v>
      </c>
      <c r="E113" s="9" t="s">
        <v>741</v>
      </c>
      <c r="F113" s="9" t="s">
        <v>260</v>
      </c>
      <c r="G113" s="9" t="s">
        <v>261</v>
      </c>
      <c r="H113" s="9" t="s">
        <v>262</v>
      </c>
      <c r="I113" s="9" t="s">
        <v>44</v>
      </c>
      <c r="J113" s="9" t="s">
        <v>742</v>
      </c>
      <c r="K113" s="9" t="s">
        <v>206</v>
      </c>
      <c r="L113" s="9" t="s">
        <v>276</v>
      </c>
      <c r="M113" s="9" t="s">
        <v>734</v>
      </c>
    </row>
    <row r="114" spans="1:13" ht="26.4" x14ac:dyDescent="0.3">
      <c r="A114" s="9" t="s">
        <v>100</v>
      </c>
      <c r="B114" s="9" t="s">
        <v>731</v>
      </c>
      <c r="C114" s="9" t="s">
        <v>271</v>
      </c>
      <c r="D114" s="9" t="s">
        <v>272</v>
      </c>
      <c r="E114" s="9" t="s">
        <v>743</v>
      </c>
      <c r="F114" s="9" t="s">
        <v>260</v>
      </c>
      <c r="G114" s="9" t="s">
        <v>271</v>
      </c>
      <c r="H114" s="9" t="s">
        <v>274</v>
      </c>
      <c r="I114" s="9" t="s">
        <v>44</v>
      </c>
      <c r="J114" s="9" t="s">
        <v>744</v>
      </c>
      <c r="K114" s="9" t="s">
        <v>206</v>
      </c>
      <c r="L114" s="9" t="s">
        <v>276</v>
      </c>
      <c r="M114" s="9" t="s">
        <v>734</v>
      </c>
    </row>
    <row r="115" spans="1:13" ht="26.4" x14ac:dyDescent="0.3">
      <c r="A115" s="9" t="s">
        <v>143</v>
      </c>
      <c r="B115" s="9" t="s">
        <v>745</v>
      </c>
      <c r="C115" s="9" t="s">
        <v>746</v>
      </c>
      <c r="D115" s="9" t="s">
        <v>747</v>
      </c>
      <c r="E115" s="9" t="s">
        <v>748</v>
      </c>
      <c r="F115" s="9" t="s">
        <v>202</v>
      </c>
      <c r="G115" s="9" t="s">
        <v>213</v>
      </c>
      <c r="H115" s="9" t="s">
        <v>749</v>
      </c>
      <c r="I115" s="9" t="s">
        <v>44</v>
      </c>
      <c r="J115" s="9" t="s">
        <v>750</v>
      </c>
      <c r="K115" s="9" t="s">
        <v>206</v>
      </c>
      <c r="L115" s="9" t="s">
        <v>751</v>
      </c>
      <c r="M115" s="9" t="s">
        <v>752</v>
      </c>
    </row>
    <row r="116" spans="1:13" ht="26.4" x14ac:dyDescent="0.3">
      <c r="A116" s="9" t="s">
        <v>143</v>
      </c>
      <c r="B116" s="9" t="s">
        <v>745</v>
      </c>
      <c r="C116" s="9" t="s">
        <v>209</v>
      </c>
      <c r="D116" s="9" t="s">
        <v>753</v>
      </c>
      <c r="E116" s="9" t="s">
        <v>753</v>
      </c>
      <c r="F116" s="9" t="s">
        <v>212</v>
      </c>
      <c r="G116" s="9" t="s">
        <v>213</v>
      </c>
      <c r="H116" s="9" t="s">
        <v>754</v>
      </c>
      <c r="I116" s="9" t="s">
        <v>44</v>
      </c>
      <c r="J116" s="9" t="s">
        <v>750</v>
      </c>
      <c r="K116" s="9" t="s">
        <v>206</v>
      </c>
      <c r="L116" s="9" t="s">
        <v>755</v>
      </c>
      <c r="M116" s="9" t="s">
        <v>752</v>
      </c>
    </row>
    <row r="117" spans="1:13" ht="26.4" x14ac:dyDescent="0.3">
      <c r="A117" s="9" t="s">
        <v>143</v>
      </c>
      <c r="B117" s="9" t="s">
        <v>745</v>
      </c>
      <c r="C117" s="9" t="s">
        <v>590</v>
      </c>
      <c r="D117" s="9" t="s">
        <v>756</v>
      </c>
      <c r="E117" s="9" t="s">
        <v>757</v>
      </c>
      <c r="F117" s="9" t="s">
        <v>202</v>
      </c>
      <c r="G117" s="9" t="s">
        <v>213</v>
      </c>
      <c r="H117" s="9" t="s">
        <v>758</v>
      </c>
      <c r="I117" s="9" t="s">
        <v>44</v>
      </c>
      <c r="J117" s="9" t="s">
        <v>759</v>
      </c>
      <c r="K117" s="9" t="s">
        <v>206</v>
      </c>
      <c r="L117" s="9" t="s">
        <v>216</v>
      </c>
      <c r="M117" s="9" t="s">
        <v>752</v>
      </c>
    </row>
    <row r="118" spans="1:13" ht="26.4" x14ac:dyDescent="0.3">
      <c r="A118" s="9" t="s">
        <v>143</v>
      </c>
      <c r="B118" s="9" t="s">
        <v>745</v>
      </c>
      <c r="C118" s="9" t="s">
        <v>760</v>
      </c>
      <c r="D118" s="9" t="s">
        <v>761</v>
      </c>
      <c r="E118" s="9" t="s">
        <v>762</v>
      </c>
      <c r="F118" s="9" t="s">
        <v>202</v>
      </c>
      <c r="G118" s="9" t="s">
        <v>213</v>
      </c>
      <c r="H118" s="9" t="s">
        <v>763</v>
      </c>
      <c r="I118" s="9" t="s">
        <v>44</v>
      </c>
      <c r="J118" s="9" t="s">
        <v>764</v>
      </c>
      <c r="K118" s="9" t="s">
        <v>206</v>
      </c>
      <c r="L118" s="9" t="s">
        <v>216</v>
      </c>
      <c r="M118" s="9" t="s">
        <v>752</v>
      </c>
    </row>
    <row r="119" spans="1:13" ht="26.4" x14ac:dyDescent="0.3">
      <c r="A119" s="9" t="s">
        <v>143</v>
      </c>
      <c r="B119" s="9" t="s">
        <v>745</v>
      </c>
      <c r="C119" s="9" t="s">
        <v>332</v>
      </c>
      <c r="D119" s="9" t="s">
        <v>765</v>
      </c>
      <c r="E119" s="9" t="s">
        <v>332</v>
      </c>
      <c r="F119" s="9" t="s">
        <v>287</v>
      </c>
      <c r="G119" s="9" t="s">
        <v>288</v>
      </c>
      <c r="H119" s="9" t="s">
        <v>766</v>
      </c>
      <c r="I119" s="9" t="s">
        <v>44</v>
      </c>
      <c r="J119" s="9" t="s">
        <v>767</v>
      </c>
      <c r="K119" s="9" t="s">
        <v>206</v>
      </c>
      <c r="L119" s="9" t="s">
        <v>216</v>
      </c>
      <c r="M119" s="9" t="s">
        <v>752</v>
      </c>
    </row>
    <row r="120" spans="1:13" ht="26.4" x14ac:dyDescent="0.3">
      <c r="A120" s="9" t="s">
        <v>143</v>
      </c>
      <c r="B120" s="9" t="s">
        <v>745</v>
      </c>
      <c r="C120" s="9" t="s">
        <v>338</v>
      </c>
      <c r="D120" s="9" t="s">
        <v>768</v>
      </c>
      <c r="E120" s="9" t="s">
        <v>338</v>
      </c>
      <c r="F120" s="9" t="s">
        <v>287</v>
      </c>
      <c r="G120" s="9" t="s">
        <v>288</v>
      </c>
      <c r="H120" s="9" t="s">
        <v>769</v>
      </c>
      <c r="I120" s="9" t="s">
        <v>44</v>
      </c>
      <c r="J120" s="9" t="s">
        <v>770</v>
      </c>
      <c r="K120" s="9" t="s">
        <v>206</v>
      </c>
      <c r="L120" s="9" t="s">
        <v>216</v>
      </c>
      <c r="M120" s="9" t="s">
        <v>752</v>
      </c>
    </row>
    <row r="121" spans="1:13" ht="26.4" x14ac:dyDescent="0.3">
      <c r="A121" s="9" t="s">
        <v>143</v>
      </c>
      <c r="B121" s="9" t="s">
        <v>745</v>
      </c>
      <c r="C121" s="9" t="s">
        <v>771</v>
      </c>
      <c r="D121" s="9" t="s">
        <v>772</v>
      </c>
      <c r="E121" s="9" t="s">
        <v>771</v>
      </c>
      <c r="F121" s="9" t="s">
        <v>245</v>
      </c>
      <c r="G121" s="9" t="s">
        <v>773</v>
      </c>
      <c r="H121" s="9" t="s">
        <v>774</v>
      </c>
      <c r="I121" s="9" t="s">
        <v>44</v>
      </c>
      <c r="J121" s="9" t="s">
        <v>775</v>
      </c>
      <c r="K121" s="9" t="s">
        <v>206</v>
      </c>
      <c r="L121" s="9" t="s">
        <v>216</v>
      </c>
      <c r="M121" s="9" t="s">
        <v>752</v>
      </c>
    </row>
    <row r="122" spans="1:13" ht="39.6" x14ac:dyDescent="0.3">
      <c r="A122" s="9" t="s">
        <v>143</v>
      </c>
      <c r="B122" s="9" t="s">
        <v>776</v>
      </c>
      <c r="C122" s="9" t="s">
        <v>746</v>
      </c>
      <c r="D122" s="9" t="s">
        <v>747</v>
      </c>
      <c r="E122" s="9" t="s">
        <v>777</v>
      </c>
      <c r="F122" s="9" t="s">
        <v>202</v>
      </c>
      <c r="G122" s="9" t="s">
        <v>213</v>
      </c>
      <c r="H122" s="9" t="s">
        <v>749</v>
      </c>
      <c r="I122" s="9" t="s">
        <v>44</v>
      </c>
      <c r="J122" s="9" t="s">
        <v>750</v>
      </c>
      <c r="K122" s="9" t="s">
        <v>206</v>
      </c>
      <c r="L122" s="9" t="s">
        <v>751</v>
      </c>
      <c r="M122" s="9" t="s">
        <v>778</v>
      </c>
    </row>
    <row r="123" spans="1:13" ht="39.6" x14ac:dyDescent="0.3">
      <c r="A123" s="9" t="s">
        <v>143</v>
      </c>
      <c r="B123" s="9" t="s">
        <v>776</v>
      </c>
      <c r="C123" s="9" t="s">
        <v>779</v>
      </c>
      <c r="D123" s="9" t="s">
        <v>780</v>
      </c>
      <c r="E123" s="9" t="s">
        <v>781</v>
      </c>
      <c r="F123" s="9" t="s">
        <v>202</v>
      </c>
      <c r="G123" s="9" t="s">
        <v>213</v>
      </c>
      <c r="H123" s="9" t="s">
        <v>782</v>
      </c>
      <c r="I123" s="9" t="s">
        <v>44</v>
      </c>
      <c r="J123" s="9" t="s">
        <v>783</v>
      </c>
      <c r="K123" s="9" t="s">
        <v>206</v>
      </c>
      <c r="L123" s="9" t="s">
        <v>784</v>
      </c>
      <c r="M123" s="9" t="s">
        <v>778</v>
      </c>
    </row>
    <row r="124" spans="1:13" ht="52.8" x14ac:dyDescent="0.3">
      <c r="A124" s="9" t="s">
        <v>143</v>
      </c>
      <c r="B124" s="9" t="s">
        <v>776</v>
      </c>
      <c r="C124" s="9" t="s">
        <v>785</v>
      </c>
      <c r="D124" s="9" t="s">
        <v>786</v>
      </c>
      <c r="E124" s="9" t="s">
        <v>787</v>
      </c>
      <c r="F124" s="9" t="s">
        <v>202</v>
      </c>
      <c r="G124" s="9" t="s">
        <v>213</v>
      </c>
      <c r="H124" s="9" t="s">
        <v>788</v>
      </c>
      <c r="I124" s="9" t="s">
        <v>44</v>
      </c>
      <c r="J124" s="9" t="s">
        <v>789</v>
      </c>
      <c r="K124" s="9" t="s">
        <v>206</v>
      </c>
      <c r="L124" s="9" t="s">
        <v>790</v>
      </c>
      <c r="M124" s="9" t="s">
        <v>778</v>
      </c>
    </row>
    <row r="125" spans="1:13" ht="39.6" x14ac:dyDescent="0.3">
      <c r="A125" s="9" t="s">
        <v>143</v>
      </c>
      <c r="B125" s="9" t="s">
        <v>776</v>
      </c>
      <c r="C125" s="9" t="s">
        <v>663</v>
      </c>
      <c r="D125" s="9" t="s">
        <v>791</v>
      </c>
      <c r="E125" s="9" t="s">
        <v>791</v>
      </c>
      <c r="F125" s="9" t="s">
        <v>280</v>
      </c>
      <c r="G125" s="9" t="s">
        <v>281</v>
      </c>
      <c r="H125" s="9" t="s">
        <v>792</v>
      </c>
      <c r="I125" s="9" t="s">
        <v>44</v>
      </c>
      <c r="J125" s="9" t="s">
        <v>793</v>
      </c>
      <c r="K125" s="9" t="s">
        <v>206</v>
      </c>
      <c r="L125" s="9" t="s">
        <v>216</v>
      </c>
      <c r="M125" s="9" t="s">
        <v>778</v>
      </c>
    </row>
    <row r="126" spans="1:13" ht="39.6" x14ac:dyDescent="0.3">
      <c r="A126" s="9" t="s">
        <v>143</v>
      </c>
      <c r="B126" s="9" t="s">
        <v>776</v>
      </c>
      <c r="C126" s="9" t="s">
        <v>681</v>
      </c>
      <c r="D126" s="9" t="s">
        <v>794</v>
      </c>
      <c r="E126" s="9" t="s">
        <v>794</v>
      </c>
      <c r="F126" s="9" t="s">
        <v>245</v>
      </c>
      <c r="G126" s="9" t="s">
        <v>795</v>
      </c>
      <c r="H126" s="9" t="s">
        <v>796</v>
      </c>
      <c r="I126" s="9" t="s">
        <v>44</v>
      </c>
      <c r="J126" s="9" t="s">
        <v>797</v>
      </c>
      <c r="K126" s="9" t="s">
        <v>206</v>
      </c>
      <c r="L126" s="9" t="s">
        <v>216</v>
      </c>
      <c r="M126" s="9" t="s">
        <v>778</v>
      </c>
    </row>
    <row r="127" spans="1:13" ht="39.6" x14ac:dyDescent="0.3">
      <c r="A127" s="9" t="s">
        <v>143</v>
      </c>
      <c r="B127" s="9" t="s">
        <v>776</v>
      </c>
      <c r="C127" s="9" t="s">
        <v>716</v>
      </c>
      <c r="D127" s="9" t="s">
        <v>798</v>
      </c>
      <c r="E127" s="9" t="s">
        <v>798</v>
      </c>
      <c r="F127" s="9" t="s">
        <v>202</v>
      </c>
      <c r="G127" s="9" t="s">
        <v>213</v>
      </c>
      <c r="H127" s="9" t="s">
        <v>799</v>
      </c>
      <c r="I127" s="9" t="s">
        <v>44</v>
      </c>
      <c r="J127" s="9" t="s">
        <v>800</v>
      </c>
      <c r="K127" s="9" t="s">
        <v>206</v>
      </c>
      <c r="L127" s="9" t="s">
        <v>216</v>
      </c>
      <c r="M127" s="9" t="s">
        <v>778</v>
      </c>
    </row>
    <row r="128" spans="1:13" ht="39.6" x14ac:dyDescent="0.3">
      <c r="A128" s="9" t="s">
        <v>143</v>
      </c>
      <c r="B128" s="9" t="s">
        <v>776</v>
      </c>
      <c r="C128" s="9" t="s">
        <v>801</v>
      </c>
      <c r="D128" s="9" t="s">
        <v>802</v>
      </c>
      <c r="E128" s="9" t="s">
        <v>802</v>
      </c>
      <c r="F128" s="9" t="s">
        <v>245</v>
      </c>
      <c r="G128" s="9" t="s">
        <v>431</v>
      </c>
      <c r="H128" s="9" t="s">
        <v>803</v>
      </c>
      <c r="I128" s="9" t="s">
        <v>44</v>
      </c>
      <c r="J128" s="9" t="s">
        <v>804</v>
      </c>
      <c r="K128" s="9" t="s">
        <v>206</v>
      </c>
      <c r="L128" s="9" t="s">
        <v>805</v>
      </c>
      <c r="M128" s="9" t="s">
        <v>778</v>
      </c>
    </row>
    <row r="129" spans="1:13" ht="39.6" x14ac:dyDescent="0.3">
      <c r="A129" s="9" t="s">
        <v>143</v>
      </c>
      <c r="B129" s="9" t="s">
        <v>776</v>
      </c>
      <c r="C129" s="9" t="s">
        <v>806</v>
      </c>
      <c r="D129" s="9" t="s">
        <v>807</v>
      </c>
      <c r="E129" s="9" t="s">
        <v>808</v>
      </c>
      <c r="F129" s="9" t="s">
        <v>202</v>
      </c>
      <c r="G129" s="9" t="s">
        <v>809</v>
      </c>
      <c r="H129" s="9" t="s">
        <v>531</v>
      </c>
      <c r="I129" s="9" t="s">
        <v>330</v>
      </c>
      <c r="J129" s="9" t="s">
        <v>810</v>
      </c>
      <c r="K129" s="9" t="s">
        <v>206</v>
      </c>
      <c r="L129" s="9" t="s">
        <v>216</v>
      </c>
      <c r="M129" s="9" t="s">
        <v>778</v>
      </c>
    </row>
    <row r="130" spans="1:13" ht="52.8" x14ac:dyDescent="0.3">
      <c r="A130" s="9" t="s">
        <v>143</v>
      </c>
      <c r="B130" s="9" t="s">
        <v>776</v>
      </c>
      <c r="C130" s="9" t="s">
        <v>811</v>
      </c>
      <c r="D130" s="9" t="s">
        <v>812</v>
      </c>
      <c r="E130" s="9" t="s">
        <v>813</v>
      </c>
      <c r="F130" s="9" t="s">
        <v>202</v>
      </c>
      <c r="G130" s="9" t="s">
        <v>213</v>
      </c>
      <c r="H130" s="9" t="s">
        <v>814</v>
      </c>
      <c r="I130" s="9" t="s">
        <v>44</v>
      </c>
      <c r="J130" s="9" t="s">
        <v>815</v>
      </c>
      <c r="K130" s="9" t="s">
        <v>206</v>
      </c>
      <c r="L130" s="9" t="s">
        <v>216</v>
      </c>
      <c r="M130" s="9" t="s">
        <v>778</v>
      </c>
    </row>
    <row r="131" spans="1:13" ht="39.6" x14ac:dyDescent="0.3">
      <c r="A131" s="9" t="s">
        <v>127</v>
      </c>
      <c r="B131" s="9" t="s">
        <v>816</v>
      </c>
      <c r="C131" s="9" t="s">
        <v>817</v>
      </c>
      <c r="D131" s="9" t="s">
        <v>818</v>
      </c>
      <c r="E131" s="9" t="s">
        <v>819</v>
      </c>
      <c r="F131" s="9" t="s">
        <v>202</v>
      </c>
      <c r="G131" s="9" t="s">
        <v>213</v>
      </c>
      <c r="H131" s="9" t="s">
        <v>820</v>
      </c>
      <c r="I131" s="9" t="s">
        <v>44</v>
      </c>
      <c r="J131" s="9" t="s">
        <v>821</v>
      </c>
      <c r="K131" s="9" t="s">
        <v>206</v>
      </c>
      <c r="L131" s="9" t="s">
        <v>822</v>
      </c>
      <c r="M131" s="9" t="s">
        <v>823</v>
      </c>
    </row>
    <row r="132" spans="1:13" ht="39.6" x14ac:dyDescent="0.3">
      <c r="A132" s="9" t="s">
        <v>127</v>
      </c>
      <c r="B132" s="9" t="s">
        <v>816</v>
      </c>
      <c r="C132" s="9" t="s">
        <v>824</v>
      </c>
      <c r="D132" s="9" t="s">
        <v>825</v>
      </c>
      <c r="E132" s="9" t="s">
        <v>826</v>
      </c>
      <c r="F132" s="9" t="s">
        <v>202</v>
      </c>
      <c r="G132" s="9" t="s">
        <v>213</v>
      </c>
      <c r="H132" s="9" t="s">
        <v>827</v>
      </c>
      <c r="I132" s="9" t="s">
        <v>44</v>
      </c>
      <c r="J132" s="9" t="s">
        <v>828</v>
      </c>
      <c r="K132" s="9" t="s">
        <v>206</v>
      </c>
      <c r="L132" s="9" t="s">
        <v>216</v>
      </c>
      <c r="M132" s="9" t="s">
        <v>823</v>
      </c>
    </row>
    <row r="133" spans="1:13" ht="52.8" x14ac:dyDescent="0.3">
      <c r="A133" s="9" t="s">
        <v>127</v>
      </c>
      <c r="B133" s="9" t="s">
        <v>816</v>
      </c>
      <c r="C133" s="9" t="s">
        <v>829</v>
      </c>
      <c r="D133" s="9" t="s">
        <v>830</v>
      </c>
      <c r="E133" s="9" t="s">
        <v>831</v>
      </c>
      <c r="F133" s="9" t="s">
        <v>202</v>
      </c>
      <c r="G133" s="9" t="s">
        <v>213</v>
      </c>
      <c r="H133" s="9" t="s">
        <v>832</v>
      </c>
      <c r="I133" s="9" t="s">
        <v>44</v>
      </c>
      <c r="J133" s="9" t="s">
        <v>833</v>
      </c>
      <c r="K133" s="9" t="s">
        <v>206</v>
      </c>
      <c r="L133" s="9" t="s">
        <v>216</v>
      </c>
      <c r="M133" s="9" t="s">
        <v>823</v>
      </c>
    </row>
    <row r="134" spans="1:13" ht="39.6" x14ac:dyDescent="0.3">
      <c r="A134" s="9" t="s">
        <v>127</v>
      </c>
      <c r="B134" s="9" t="s">
        <v>816</v>
      </c>
      <c r="C134" s="9" t="s">
        <v>332</v>
      </c>
      <c r="D134" s="9" t="s">
        <v>834</v>
      </c>
      <c r="E134" s="9" t="s">
        <v>332</v>
      </c>
      <c r="F134" s="9" t="s">
        <v>287</v>
      </c>
      <c r="G134" s="9" t="s">
        <v>288</v>
      </c>
      <c r="H134" s="9" t="s">
        <v>835</v>
      </c>
      <c r="I134" s="9" t="s">
        <v>44</v>
      </c>
      <c r="J134" s="9" t="s">
        <v>836</v>
      </c>
      <c r="K134" s="9" t="s">
        <v>837</v>
      </c>
      <c r="L134" s="9" t="s">
        <v>838</v>
      </c>
      <c r="M134" s="9" t="s">
        <v>823</v>
      </c>
    </row>
    <row r="135" spans="1:13" ht="39.6" x14ac:dyDescent="0.3">
      <c r="A135" s="9" t="s">
        <v>127</v>
      </c>
      <c r="B135" s="9" t="s">
        <v>816</v>
      </c>
      <c r="C135" s="9" t="s">
        <v>338</v>
      </c>
      <c r="D135" s="9" t="s">
        <v>839</v>
      </c>
      <c r="E135" s="9" t="s">
        <v>338</v>
      </c>
      <c r="F135" s="9" t="s">
        <v>287</v>
      </c>
      <c r="G135" s="9" t="s">
        <v>288</v>
      </c>
      <c r="H135" s="9" t="s">
        <v>840</v>
      </c>
      <c r="I135" s="9" t="s">
        <v>44</v>
      </c>
      <c r="J135" s="9" t="s">
        <v>841</v>
      </c>
      <c r="K135" s="9" t="s">
        <v>837</v>
      </c>
      <c r="L135" s="9" t="s">
        <v>838</v>
      </c>
      <c r="M135" s="9" t="s">
        <v>823</v>
      </c>
    </row>
    <row r="136" spans="1:13" ht="39.6" x14ac:dyDescent="0.3">
      <c r="A136" s="9" t="s">
        <v>127</v>
      </c>
      <c r="B136" s="9" t="s">
        <v>816</v>
      </c>
      <c r="C136" s="9" t="s">
        <v>842</v>
      </c>
      <c r="D136" s="9" t="s">
        <v>843</v>
      </c>
      <c r="E136" s="9" t="s">
        <v>1223</v>
      </c>
      <c r="F136" s="9" t="s">
        <v>245</v>
      </c>
      <c r="G136" s="9" t="s">
        <v>844</v>
      </c>
      <c r="H136" s="9" t="s">
        <v>845</v>
      </c>
      <c r="I136" s="9" t="s">
        <v>330</v>
      </c>
      <c r="J136" s="9" t="s">
        <v>846</v>
      </c>
      <c r="K136" s="9" t="s">
        <v>206</v>
      </c>
      <c r="L136" s="9" t="s">
        <v>847</v>
      </c>
      <c r="M136" s="9" t="s">
        <v>823</v>
      </c>
    </row>
    <row r="137" spans="1:13" ht="39.6" x14ac:dyDescent="0.3">
      <c r="A137" s="9" t="s">
        <v>127</v>
      </c>
      <c r="B137" s="9" t="s">
        <v>816</v>
      </c>
      <c r="C137" s="9" t="s">
        <v>848</v>
      </c>
      <c r="D137" s="9" t="s">
        <v>849</v>
      </c>
      <c r="E137" s="9" t="s">
        <v>1224</v>
      </c>
      <c r="F137" s="9" t="s">
        <v>245</v>
      </c>
      <c r="G137" s="9" t="s">
        <v>844</v>
      </c>
      <c r="H137" s="9" t="s">
        <v>850</v>
      </c>
      <c r="I137" s="9" t="s">
        <v>330</v>
      </c>
      <c r="J137" s="9" t="s">
        <v>851</v>
      </c>
      <c r="K137" s="9" t="s">
        <v>206</v>
      </c>
      <c r="L137" s="9" t="s">
        <v>852</v>
      </c>
      <c r="M137" s="9" t="s">
        <v>823</v>
      </c>
    </row>
    <row r="138" spans="1:13" ht="39.6" x14ac:dyDescent="0.3">
      <c r="A138" s="9" t="s">
        <v>127</v>
      </c>
      <c r="B138" s="9" t="s">
        <v>816</v>
      </c>
      <c r="C138" s="9" t="s">
        <v>853</v>
      </c>
      <c r="D138" s="9" t="s">
        <v>854</v>
      </c>
      <c r="E138" s="9" t="s">
        <v>1225</v>
      </c>
      <c r="F138" s="9" t="s">
        <v>245</v>
      </c>
      <c r="G138" s="9" t="s">
        <v>855</v>
      </c>
      <c r="H138" s="9" t="s">
        <v>856</v>
      </c>
      <c r="I138" s="9" t="s">
        <v>330</v>
      </c>
      <c r="J138" s="9" t="s">
        <v>857</v>
      </c>
      <c r="K138" s="9" t="s">
        <v>206</v>
      </c>
      <c r="L138" s="9" t="s">
        <v>256</v>
      </c>
      <c r="M138" s="9" t="s">
        <v>823</v>
      </c>
    </row>
    <row r="139" spans="1:13" ht="39.6" x14ac:dyDescent="0.3">
      <c r="A139" s="9" t="s">
        <v>127</v>
      </c>
      <c r="B139" s="9" t="s">
        <v>816</v>
      </c>
      <c r="C139" s="9" t="s">
        <v>858</v>
      </c>
      <c r="D139" s="9" t="s">
        <v>859</v>
      </c>
      <c r="E139" s="9" t="s">
        <v>1226</v>
      </c>
      <c r="F139" s="9" t="s">
        <v>245</v>
      </c>
      <c r="G139" s="9" t="s">
        <v>431</v>
      </c>
      <c r="H139" s="9" t="s">
        <v>860</v>
      </c>
      <c r="I139" s="9" t="s">
        <v>330</v>
      </c>
      <c r="J139" s="9" t="s">
        <v>861</v>
      </c>
      <c r="K139" s="9" t="s">
        <v>206</v>
      </c>
      <c r="L139" s="9" t="s">
        <v>256</v>
      </c>
      <c r="M139" s="9" t="s">
        <v>823</v>
      </c>
    </row>
    <row r="140" spans="1:13" ht="39.6" x14ac:dyDescent="0.3">
      <c r="A140" s="9" t="s">
        <v>127</v>
      </c>
      <c r="B140" s="9" t="s">
        <v>816</v>
      </c>
      <c r="C140" s="9" t="s">
        <v>642</v>
      </c>
      <c r="D140" s="9" t="s">
        <v>862</v>
      </c>
      <c r="E140" s="9" t="s">
        <v>863</v>
      </c>
      <c r="F140" s="9" t="s">
        <v>280</v>
      </c>
      <c r="G140" s="9" t="s">
        <v>864</v>
      </c>
      <c r="H140" s="9" t="s">
        <v>865</v>
      </c>
      <c r="I140" s="9" t="s">
        <v>44</v>
      </c>
      <c r="J140" s="9" t="s">
        <v>866</v>
      </c>
      <c r="K140" s="9" t="s">
        <v>206</v>
      </c>
      <c r="L140" s="9" t="s">
        <v>867</v>
      </c>
      <c r="M140" s="9" t="s">
        <v>823</v>
      </c>
    </row>
    <row r="141" spans="1:13" ht="26.4" x14ac:dyDescent="0.3">
      <c r="A141" s="9" t="s">
        <v>127</v>
      </c>
      <c r="B141" s="9" t="s">
        <v>868</v>
      </c>
      <c r="C141" s="9" t="s">
        <v>642</v>
      </c>
      <c r="D141" s="9" t="s">
        <v>643</v>
      </c>
      <c r="E141" s="9" t="s">
        <v>869</v>
      </c>
      <c r="F141" s="9" t="s">
        <v>280</v>
      </c>
      <c r="G141" s="9" t="s">
        <v>372</v>
      </c>
      <c r="H141" s="9" t="s">
        <v>870</v>
      </c>
      <c r="I141" s="9" t="s">
        <v>44</v>
      </c>
      <c r="J141" s="9" t="s">
        <v>870</v>
      </c>
      <c r="K141" s="9" t="s">
        <v>206</v>
      </c>
      <c r="L141" s="9" t="s">
        <v>871</v>
      </c>
      <c r="M141" s="9" t="s">
        <v>872</v>
      </c>
    </row>
    <row r="142" spans="1:13" ht="26.4" x14ac:dyDescent="0.3">
      <c r="A142" s="9" t="s">
        <v>135</v>
      </c>
      <c r="B142" s="9" t="s">
        <v>873</v>
      </c>
      <c r="C142" s="9" t="s">
        <v>874</v>
      </c>
      <c r="D142" s="9" t="s">
        <v>875</v>
      </c>
      <c r="E142" s="9" t="s">
        <v>876</v>
      </c>
      <c r="F142" s="9" t="s">
        <v>202</v>
      </c>
      <c r="G142" s="9" t="s">
        <v>213</v>
      </c>
      <c r="H142" s="9" t="s">
        <v>877</v>
      </c>
      <c r="I142" s="9" t="s">
        <v>44</v>
      </c>
      <c r="J142" s="9" t="s">
        <v>878</v>
      </c>
      <c r="K142" s="9" t="s">
        <v>206</v>
      </c>
      <c r="L142" s="9" t="s">
        <v>216</v>
      </c>
      <c r="M142" s="9" t="s">
        <v>879</v>
      </c>
    </row>
    <row r="143" spans="1:13" ht="39.6" x14ac:dyDescent="0.3">
      <c r="A143" s="9" t="s">
        <v>135</v>
      </c>
      <c r="B143" s="9" t="s">
        <v>873</v>
      </c>
      <c r="C143" s="9" t="s">
        <v>880</v>
      </c>
      <c r="D143" s="9" t="s">
        <v>881</v>
      </c>
      <c r="E143" s="9" t="s">
        <v>639</v>
      </c>
      <c r="F143" s="9" t="s">
        <v>212</v>
      </c>
      <c r="G143" s="9" t="s">
        <v>213</v>
      </c>
      <c r="H143" s="9" t="s">
        <v>882</v>
      </c>
      <c r="I143" s="9" t="s">
        <v>44</v>
      </c>
      <c r="J143" s="9" t="s">
        <v>883</v>
      </c>
      <c r="K143" s="9" t="s">
        <v>837</v>
      </c>
      <c r="L143" s="9" t="s">
        <v>884</v>
      </c>
      <c r="M143" s="9" t="s">
        <v>879</v>
      </c>
    </row>
    <row r="144" spans="1:13" ht="26.4" x14ac:dyDescent="0.3">
      <c r="A144" s="9" t="s">
        <v>135</v>
      </c>
      <c r="B144" s="9" t="s">
        <v>873</v>
      </c>
      <c r="C144" s="9" t="s">
        <v>817</v>
      </c>
      <c r="D144" s="9" t="s">
        <v>885</v>
      </c>
      <c r="E144" s="9" t="s">
        <v>886</v>
      </c>
      <c r="F144" s="9" t="s">
        <v>202</v>
      </c>
      <c r="G144" s="9" t="s">
        <v>213</v>
      </c>
      <c r="H144" s="9" t="s">
        <v>887</v>
      </c>
      <c r="I144" s="9" t="s">
        <v>44</v>
      </c>
      <c r="J144" s="9" t="s">
        <v>888</v>
      </c>
      <c r="K144" s="9" t="s">
        <v>206</v>
      </c>
      <c r="L144" s="9" t="s">
        <v>216</v>
      </c>
      <c r="M144" s="9" t="s">
        <v>879</v>
      </c>
    </row>
    <row r="145" spans="1:13" ht="39.6" x14ac:dyDescent="0.3">
      <c r="A145" s="9" t="s">
        <v>135</v>
      </c>
      <c r="B145" s="9" t="s">
        <v>873</v>
      </c>
      <c r="C145" s="9" t="s">
        <v>889</v>
      </c>
      <c r="D145" s="9" t="s">
        <v>890</v>
      </c>
      <c r="E145" s="9" t="s">
        <v>1227</v>
      </c>
      <c r="F145" s="9" t="s">
        <v>212</v>
      </c>
      <c r="G145" s="9" t="s">
        <v>213</v>
      </c>
      <c r="H145" s="9" t="s">
        <v>782</v>
      </c>
      <c r="I145" s="9" t="s">
        <v>44</v>
      </c>
      <c r="J145" s="9" t="s">
        <v>891</v>
      </c>
      <c r="K145" s="9" t="s">
        <v>206</v>
      </c>
      <c r="L145" s="9" t="s">
        <v>216</v>
      </c>
      <c r="M145" s="9" t="s">
        <v>879</v>
      </c>
    </row>
    <row r="146" spans="1:13" ht="39.6" x14ac:dyDescent="0.3">
      <c r="A146" s="9" t="s">
        <v>135</v>
      </c>
      <c r="B146" s="9" t="s">
        <v>873</v>
      </c>
      <c r="C146" s="9" t="s">
        <v>892</v>
      </c>
      <c r="D146" s="9" t="s">
        <v>893</v>
      </c>
      <c r="E146" s="9" t="s">
        <v>1228</v>
      </c>
      <c r="F146" s="9" t="s">
        <v>202</v>
      </c>
      <c r="G146" s="9" t="s">
        <v>213</v>
      </c>
      <c r="H146" s="9" t="s">
        <v>842</v>
      </c>
      <c r="I146" s="9" t="s">
        <v>44</v>
      </c>
      <c r="J146" s="9" t="s">
        <v>894</v>
      </c>
      <c r="K146" s="9" t="s">
        <v>206</v>
      </c>
      <c r="L146" s="9" t="s">
        <v>895</v>
      </c>
      <c r="M146" s="9" t="s">
        <v>879</v>
      </c>
    </row>
    <row r="147" spans="1:13" ht="26.4" x14ac:dyDescent="0.3">
      <c r="A147" s="9" t="s">
        <v>135</v>
      </c>
      <c r="B147" s="9" t="s">
        <v>873</v>
      </c>
      <c r="C147" s="9" t="s">
        <v>716</v>
      </c>
      <c r="D147" s="9" t="s">
        <v>896</v>
      </c>
      <c r="E147" s="9" t="s">
        <v>1229</v>
      </c>
      <c r="F147" s="9" t="s">
        <v>202</v>
      </c>
      <c r="G147" s="9" t="s">
        <v>213</v>
      </c>
      <c r="H147" s="9" t="s">
        <v>844</v>
      </c>
      <c r="I147" s="9" t="s">
        <v>44</v>
      </c>
      <c r="J147" s="9" t="s">
        <v>897</v>
      </c>
      <c r="K147" s="9" t="s">
        <v>206</v>
      </c>
      <c r="L147" s="9" t="s">
        <v>216</v>
      </c>
      <c r="M147" s="9" t="s">
        <v>879</v>
      </c>
    </row>
    <row r="148" spans="1:13" ht="26.4" x14ac:dyDescent="0.3">
      <c r="A148" s="9" t="s">
        <v>135</v>
      </c>
      <c r="B148" s="9" t="s">
        <v>873</v>
      </c>
      <c r="C148" s="9" t="s">
        <v>829</v>
      </c>
      <c r="D148" s="9" t="s">
        <v>898</v>
      </c>
      <c r="E148" s="9" t="s">
        <v>1230</v>
      </c>
      <c r="F148" s="9" t="s">
        <v>202</v>
      </c>
      <c r="G148" s="9" t="s">
        <v>213</v>
      </c>
      <c r="H148" s="9" t="s">
        <v>899</v>
      </c>
      <c r="I148" s="9" t="s">
        <v>44</v>
      </c>
      <c r="J148" s="9" t="s">
        <v>900</v>
      </c>
      <c r="K148" s="9" t="s">
        <v>206</v>
      </c>
      <c r="L148" s="9" t="s">
        <v>216</v>
      </c>
      <c r="M148" s="9" t="s">
        <v>879</v>
      </c>
    </row>
    <row r="149" spans="1:13" ht="26.4" x14ac:dyDescent="0.3">
      <c r="A149" s="9" t="s">
        <v>135</v>
      </c>
      <c r="B149" s="9" t="s">
        <v>873</v>
      </c>
      <c r="C149" s="9" t="s">
        <v>681</v>
      </c>
      <c r="D149" s="9" t="s">
        <v>901</v>
      </c>
      <c r="E149" s="9" t="s">
        <v>1231</v>
      </c>
      <c r="F149" s="9" t="s">
        <v>245</v>
      </c>
      <c r="G149" s="9" t="s">
        <v>723</v>
      </c>
      <c r="H149" s="9" t="s">
        <v>902</v>
      </c>
      <c r="I149" s="9" t="s">
        <v>330</v>
      </c>
      <c r="J149" s="9" t="s">
        <v>903</v>
      </c>
      <c r="K149" s="9" t="s">
        <v>206</v>
      </c>
      <c r="L149" s="9" t="s">
        <v>256</v>
      </c>
      <c r="M149" s="9" t="s">
        <v>879</v>
      </c>
    </row>
    <row r="150" spans="1:13" ht="39.6" x14ac:dyDescent="0.3">
      <c r="A150" s="9" t="s">
        <v>135</v>
      </c>
      <c r="B150" s="9" t="s">
        <v>873</v>
      </c>
      <c r="C150" s="9" t="s">
        <v>642</v>
      </c>
      <c r="D150" s="9" t="s">
        <v>904</v>
      </c>
      <c r="E150" s="9" t="s">
        <v>905</v>
      </c>
      <c r="F150" s="9" t="s">
        <v>280</v>
      </c>
      <c r="G150" s="9" t="s">
        <v>864</v>
      </c>
      <c r="H150" s="9" t="s">
        <v>906</v>
      </c>
      <c r="I150" s="9" t="s">
        <v>330</v>
      </c>
      <c r="J150" s="9" t="s">
        <v>907</v>
      </c>
      <c r="K150" s="9" t="s">
        <v>206</v>
      </c>
      <c r="L150" s="9" t="s">
        <v>216</v>
      </c>
      <c r="M150" s="9" t="s">
        <v>879</v>
      </c>
    </row>
    <row r="151" spans="1:13" ht="39.6" x14ac:dyDescent="0.3">
      <c r="A151" s="9" t="s">
        <v>135</v>
      </c>
      <c r="B151" s="9" t="s">
        <v>873</v>
      </c>
      <c r="C151" s="9" t="s">
        <v>332</v>
      </c>
      <c r="D151" s="9" t="s">
        <v>908</v>
      </c>
      <c r="E151" s="9" t="s">
        <v>332</v>
      </c>
      <c r="F151" s="9" t="s">
        <v>287</v>
      </c>
      <c r="G151" s="9" t="s">
        <v>288</v>
      </c>
      <c r="H151" s="9" t="s">
        <v>909</v>
      </c>
      <c r="I151" s="9" t="s">
        <v>44</v>
      </c>
      <c r="J151" s="9" t="s">
        <v>910</v>
      </c>
      <c r="K151" s="9" t="s">
        <v>837</v>
      </c>
      <c r="L151" s="9" t="s">
        <v>838</v>
      </c>
      <c r="M151" s="9" t="s">
        <v>879</v>
      </c>
    </row>
    <row r="152" spans="1:13" ht="39.6" x14ac:dyDescent="0.3">
      <c r="A152" s="9" t="s">
        <v>135</v>
      </c>
      <c r="B152" s="9" t="s">
        <v>873</v>
      </c>
      <c r="C152" s="9" t="s">
        <v>338</v>
      </c>
      <c r="D152" s="9" t="s">
        <v>911</v>
      </c>
      <c r="E152" s="9" t="s">
        <v>338</v>
      </c>
      <c r="F152" s="9" t="s">
        <v>287</v>
      </c>
      <c r="G152" s="9" t="s">
        <v>288</v>
      </c>
      <c r="H152" s="9" t="s">
        <v>912</v>
      </c>
      <c r="I152" s="9" t="s">
        <v>44</v>
      </c>
      <c r="J152" s="9" t="s">
        <v>913</v>
      </c>
      <c r="K152" s="9" t="s">
        <v>837</v>
      </c>
      <c r="L152" s="9" t="s">
        <v>838</v>
      </c>
      <c r="M152" s="9" t="s">
        <v>879</v>
      </c>
    </row>
    <row r="153" spans="1:13" ht="39.6" x14ac:dyDescent="0.3">
      <c r="A153" s="9" t="s">
        <v>151</v>
      </c>
      <c r="B153" s="9" t="s">
        <v>914</v>
      </c>
      <c r="C153" s="9" t="s">
        <v>409</v>
      </c>
      <c r="D153" s="9" t="s">
        <v>915</v>
      </c>
      <c r="E153" s="9" t="s">
        <v>1232</v>
      </c>
      <c r="F153" s="9" t="s">
        <v>280</v>
      </c>
      <c r="G153" s="9" t="s">
        <v>409</v>
      </c>
      <c r="H153" s="9" t="s">
        <v>916</v>
      </c>
      <c r="I153" s="9" t="s">
        <v>44</v>
      </c>
      <c r="J153" s="9" t="s">
        <v>917</v>
      </c>
      <c r="K153" s="9" t="s">
        <v>206</v>
      </c>
      <c r="L153" s="9" t="s">
        <v>216</v>
      </c>
      <c r="M153" s="9" t="s">
        <v>918</v>
      </c>
    </row>
    <row r="154" spans="1:13" ht="39.6" x14ac:dyDescent="0.3">
      <c r="A154" s="9" t="s">
        <v>151</v>
      </c>
      <c r="B154" s="9" t="s">
        <v>914</v>
      </c>
      <c r="C154" s="9" t="s">
        <v>919</v>
      </c>
      <c r="D154" s="9" t="s">
        <v>920</v>
      </c>
      <c r="E154" s="9" t="s">
        <v>1233</v>
      </c>
      <c r="F154" s="9" t="s">
        <v>245</v>
      </c>
      <c r="G154" s="9" t="s">
        <v>855</v>
      </c>
      <c r="H154" s="9" t="s">
        <v>921</v>
      </c>
      <c r="I154" s="9" t="s">
        <v>44</v>
      </c>
      <c r="J154" s="9" t="s">
        <v>922</v>
      </c>
      <c r="K154" s="9" t="s">
        <v>206</v>
      </c>
      <c r="L154" s="9" t="s">
        <v>216</v>
      </c>
      <c r="M154" s="9" t="s">
        <v>918</v>
      </c>
    </row>
    <row r="155" spans="1:13" ht="39.6" x14ac:dyDescent="0.3">
      <c r="A155" s="9" t="s">
        <v>151</v>
      </c>
      <c r="B155" s="9" t="s">
        <v>914</v>
      </c>
      <c r="C155" s="9" t="s">
        <v>923</v>
      </c>
      <c r="D155" s="9" t="s">
        <v>924</v>
      </c>
      <c r="E155" s="9" t="s">
        <v>1234</v>
      </c>
      <c r="F155" s="9" t="s">
        <v>245</v>
      </c>
      <c r="G155" s="9" t="s">
        <v>855</v>
      </c>
      <c r="H155" s="9" t="s">
        <v>925</v>
      </c>
      <c r="I155" s="9" t="s">
        <v>44</v>
      </c>
      <c r="J155" s="9" t="s">
        <v>926</v>
      </c>
      <c r="K155" s="9" t="s">
        <v>206</v>
      </c>
      <c r="L155" s="9" t="s">
        <v>216</v>
      </c>
      <c r="M155" s="9" t="s">
        <v>918</v>
      </c>
    </row>
    <row r="156" spans="1:13" ht="39.6" x14ac:dyDescent="0.3">
      <c r="A156" s="9" t="s">
        <v>151</v>
      </c>
      <c r="B156" s="9" t="s">
        <v>914</v>
      </c>
      <c r="C156" s="9" t="s">
        <v>927</v>
      </c>
      <c r="D156" s="9" t="s">
        <v>928</v>
      </c>
      <c r="E156" s="9" t="s">
        <v>1235</v>
      </c>
      <c r="F156" s="9" t="s">
        <v>245</v>
      </c>
      <c r="G156" s="9" t="s">
        <v>855</v>
      </c>
      <c r="H156" s="9" t="s">
        <v>929</v>
      </c>
      <c r="I156" s="9" t="s">
        <v>44</v>
      </c>
      <c r="J156" s="9" t="s">
        <v>930</v>
      </c>
      <c r="K156" s="9" t="s">
        <v>206</v>
      </c>
      <c r="L156" s="9" t="s">
        <v>216</v>
      </c>
      <c r="M156" s="9" t="s">
        <v>918</v>
      </c>
    </row>
    <row r="157" spans="1:13" ht="39.6" x14ac:dyDescent="0.3">
      <c r="A157" s="9" t="s">
        <v>151</v>
      </c>
      <c r="B157" s="9" t="s">
        <v>914</v>
      </c>
      <c r="C157" s="9" t="s">
        <v>931</v>
      </c>
      <c r="D157" s="9" t="s">
        <v>932</v>
      </c>
      <c r="E157" s="9" t="s">
        <v>1236</v>
      </c>
      <c r="F157" s="9" t="s">
        <v>245</v>
      </c>
      <c r="G157" s="9" t="s">
        <v>933</v>
      </c>
      <c r="H157" s="9" t="s">
        <v>399</v>
      </c>
      <c r="I157" s="9" t="s">
        <v>44</v>
      </c>
      <c r="J157" s="9" t="s">
        <v>934</v>
      </c>
      <c r="K157" s="9" t="s">
        <v>206</v>
      </c>
      <c r="L157" s="9" t="s">
        <v>216</v>
      </c>
      <c r="M157" s="9" t="s">
        <v>918</v>
      </c>
    </row>
    <row r="158" spans="1:13" ht="26.4" x14ac:dyDescent="0.3">
      <c r="A158" s="9" t="s">
        <v>151</v>
      </c>
      <c r="B158" s="9" t="s">
        <v>935</v>
      </c>
      <c r="C158" s="9" t="s">
        <v>936</v>
      </c>
      <c r="D158" s="9" t="s">
        <v>937</v>
      </c>
      <c r="E158" s="9" t="s">
        <v>1237</v>
      </c>
      <c r="F158" s="9" t="s">
        <v>280</v>
      </c>
      <c r="G158" s="9" t="s">
        <v>938</v>
      </c>
      <c r="H158" s="9" t="s">
        <v>939</v>
      </c>
      <c r="I158" s="9" t="s">
        <v>44</v>
      </c>
      <c r="J158" s="9" t="s">
        <v>940</v>
      </c>
      <c r="K158" s="9" t="s">
        <v>206</v>
      </c>
      <c r="L158" s="9" t="s">
        <v>941</v>
      </c>
      <c r="M158" s="9" t="s">
        <v>942</v>
      </c>
    </row>
    <row r="159" spans="1:13" ht="26.4" x14ac:dyDescent="0.3">
      <c r="A159" s="9" t="s">
        <v>151</v>
      </c>
      <c r="B159" s="9" t="s">
        <v>935</v>
      </c>
      <c r="C159" s="9" t="s">
        <v>853</v>
      </c>
      <c r="D159" s="9" t="s">
        <v>943</v>
      </c>
      <c r="E159" s="9" t="s">
        <v>1238</v>
      </c>
      <c r="F159" s="9" t="s">
        <v>245</v>
      </c>
      <c r="G159" s="9" t="s">
        <v>855</v>
      </c>
      <c r="H159" s="9" t="s">
        <v>944</v>
      </c>
      <c r="I159" s="9" t="s">
        <v>44</v>
      </c>
      <c r="J159" s="9" t="s">
        <v>945</v>
      </c>
      <c r="K159" s="9" t="s">
        <v>206</v>
      </c>
      <c r="L159" s="9" t="s">
        <v>216</v>
      </c>
      <c r="M159" s="9" t="s">
        <v>942</v>
      </c>
    </row>
    <row r="160" spans="1:13" ht="26.4" x14ac:dyDescent="0.3">
      <c r="A160" s="9" t="s">
        <v>151</v>
      </c>
      <c r="B160" s="9" t="s">
        <v>935</v>
      </c>
      <c r="C160" s="9" t="s">
        <v>858</v>
      </c>
      <c r="D160" s="9" t="s">
        <v>946</v>
      </c>
      <c r="E160" s="9" t="s">
        <v>1239</v>
      </c>
      <c r="F160" s="9" t="s">
        <v>245</v>
      </c>
      <c r="G160" s="9" t="s">
        <v>431</v>
      </c>
      <c r="H160" s="9" t="s">
        <v>947</v>
      </c>
      <c r="I160" s="9" t="s">
        <v>44</v>
      </c>
      <c r="J160" s="9" t="s">
        <v>948</v>
      </c>
      <c r="K160" s="9" t="s">
        <v>206</v>
      </c>
      <c r="L160" s="9" t="s">
        <v>216</v>
      </c>
      <c r="M160" s="9" t="s">
        <v>942</v>
      </c>
    </row>
    <row r="161" spans="1:13" ht="26.4" x14ac:dyDescent="0.3">
      <c r="A161" s="9" t="s">
        <v>151</v>
      </c>
      <c r="B161" s="9" t="s">
        <v>935</v>
      </c>
      <c r="C161" s="9" t="s">
        <v>931</v>
      </c>
      <c r="D161" s="9" t="s">
        <v>949</v>
      </c>
      <c r="E161" s="9" t="s">
        <v>1240</v>
      </c>
      <c r="F161" s="9" t="s">
        <v>245</v>
      </c>
      <c r="G161" s="9" t="s">
        <v>933</v>
      </c>
      <c r="H161" s="9" t="s">
        <v>399</v>
      </c>
      <c r="I161" s="9" t="s">
        <v>44</v>
      </c>
      <c r="J161" s="9" t="s">
        <v>399</v>
      </c>
      <c r="K161" s="9" t="s">
        <v>206</v>
      </c>
      <c r="L161" s="9" t="s">
        <v>216</v>
      </c>
      <c r="M161" s="9" t="s">
        <v>942</v>
      </c>
    </row>
    <row r="162" spans="1:13" ht="26.4" x14ac:dyDescent="0.3">
      <c r="A162" s="9" t="s">
        <v>151</v>
      </c>
      <c r="B162" s="9" t="s">
        <v>935</v>
      </c>
      <c r="C162" s="9" t="s">
        <v>950</v>
      </c>
      <c r="D162" s="9" t="s">
        <v>951</v>
      </c>
      <c r="E162" s="9" t="s">
        <v>1241</v>
      </c>
      <c r="F162" s="9" t="s">
        <v>245</v>
      </c>
      <c r="G162" s="9" t="s">
        <v>952</v>
      </c>
      <c r="H162" s="9" t="s">
        <v>346</v>
      </c>
      <c r="I162" s="9" t="s">
        <v>44</v>
      </c>
      <c r="J162" s="9" t="s">
        <v>953</v>
      </c>
      <c r="K162" s="9" t="s">
        <v>206</v>
      </c>
      <c r="L162" s="9" t="s">
        <v>216</v>
      </c>
      <c r="M162" s="9" t="s">
        <v>942</v>
      </c>
    </row>
    <row r="163" spans="1:13" ht="26.4" x14ac:dyDescent="0.3">
      <c r="A163" s="9" t="s">
        <v>151</v>
      </c>
      <c r="B163" s="9" t="s">
        <v>935</v>
      </c>
      <c r="C163" s="9" t="s">
        <v>842</v>
      </c>
      <c r="D163" s="9" t="s">
        <v>954</v>
      </c>
      <c r="E163" s="9" t="s">
        <v>1242</v>
      </c>
      <c r="F163" s="9" t="s">
        <v>245</v>
      </c>
      <c r="G163" s="9" t="s">
        <v>844</v>
      </c>
      <c r="H163" s="9" t="s">
        <v>955</v>
      </c>
      <c r="I163" s="9" t="s">
        <v>44</v>
      </c>
      <c r="J163" s="9" t="s">
        <v>956</v>
      </c>
      <c r="K163" s="9" t="s">
        <v>206</v>
      </c>
      <c r="L163" s="9" t="s">
        <v>957</v>
      </c>
      <c r="M163" s="9" t="s">
        <v>942</v>
      </c>
    </row>
    <row r="164" spans="1:13" ht="26.4" x14ac:dyDescent="0.3">
      <c r="A164" s="9" t="s">
        <v>151</v>
      </c>
      <c r="B164" s="9" t="s">
        <v>935</v>
      </c>
      <c r="C164" s="9" t="s">
        <v>848</v>
      </c>
      <c r="D164" s="9" t="s">
        <v>958</v>
      </c>
      <c r="E164" s="9" t="s">
        <v>1243</v>
      </c>
      <c r="F164" s="9" t="s">
        <v>245</v>
      </c>
      <c r="G164" s="9" t="s">
        <v>844</v>
      </c>
      <c r="H164" s="9" t="s">
        <v>959</v>
      </c>
      <c r="I164" s="9" t="s">
        <v>44</v>
      </c>
      <c r="J164" s="9" t="s">
        <v>960</v>
      </c>
      <c r="K164" s="9" t="s">
        <v>206</v>
      </c>
      <c r="L164" s="9" t="s">
        <v>957</v>
      </c>
      <c r="M164" s="9" t="s">
        <v>942</v>
      </c>
    </row>
    <row r="165" spans="1:13" ht="26.4" x14ac:dyDescent="0.3">
      <c r="A165" s="9" t="s">
        <v>151</v>
      </c>
      <c r="B165" s="9" t="s">
        <v>935</v>
      </c>
      <c r="C165" s="9" t="s">
        <v>961</v>
      </c>
      <c r="D165" s="9" t="s">
        <v>962</v>
      </c>
      <c r="E165" s="9" t="s">
        <v>1244</v>
      </c>
      <c r="F165" s="9" t="s">
        <v>245</v>
      </c>
      <c r="G165" s="9" t="s">
        <v>844</v>
      </c>
      <c r="H165" s="9" t="s">
        <v>963</v>
      </c>
      <c r="I165" s="9" t="s">
        <v>44</v>
      </c>
      <c r="J165" s="9" t="s">
        <v>964</v>
      </c>
      <c r="K165" s="9" t="s">
        <v>206</v>
      </c>
      <c r="L165" s="9" t="s">
        <v>957</v>
      </c>
      <c r="M165" s="9" t="s">
        <v>942</v>
      </c>
    </row>
    <row r="166" spans="1:13" ht="26.4" x14ac:dyDescent="0.3">
      <c r="A166" s="9" t="s">
        <v>151</v>
      </c>
      <c r="B166" s="9" t="s">
        <v>935</v>
      </c>
      <c r="C166" s="9" t="s">
        <v>965</v>
      </c>
      <c r="D166" s="9" t="s">
        <v>966</v>
      </c>
      <c r="E166" s="9" t="s">
        <v>1245</v>
      </c>
      <c r="F166" s="9" t="s">
        <v>245</v>
      </c>
      <c r="G166" s="9" t="s">
        <v>844</v>
      </c>
      <c r="H166" s="9" t="s">
        <v>967</v>
      </c>
      <c r="I166" s="9" t="s">
        <v>44</v>
      </c>
      <c r="J166" s="9" t="s">
        <v>968</v>
      </c>
      <c r="K166" s="9" t="s">
        <v>206</v>
      </c>
      <c r="L166" s="9" t="s">
        <v>957</v>
      </c>
      <c r="M166" s="9" t="s">
        <v>942</v>
      </c>
    </row>
    <row r="167" spans="1:13" ht="26.4" x14ac:dyDescent="0.3">
      <c r="A167" s="9" t="s">
        <v>151</v>
      </c>
      <c r="B167" s="9" t="s">
        <v>935</v>
      </c>
      <c r="C167" s="9" t="s">
        <v>969</v>
      </c>
      <c r="D167" s="9" t="s">
        <v>970</v>
      </c>
      <c r="E167" s="9" t="s">
        <v>1246</v>
      </c>
      <c r="F167" s="9" t="s">
        <v>245</v>
      </c>
      <c r="G167" s="9" t="s">
        <v>971</v>
      </c>
      <c r="H167" s="9" t="s">
        <v>972</v>
      </c>
      <c r="I167" s="9" t="s">
        <v>44</v>
      </c>
      <c r="J167" s="9" t="s">
        <v>973</v>
      </c>
      <c r="K167" s="9" t="s">
        <v>206</v>
      </c>
      <c r="L167" s="9" t="s">
        <v>957</v>
      </c>
      <c r="M167" s="9" t="s">
        <v>942</v>
      </c>
    </row>
    <row r="168" spans="1:13" ht="39.6" x14ac:dyDescent="0.3">
      <c r="A168" s="9" t="s">
        <v>100</v>
      </c>
      <c r="B168" s="9" t="s">
        <v>974</v>
      </c>
      <c r="C168" s="9" t="s">
        <v>257</v>
      </c>
      <c r="D168" s="9" t="s">
        <v>975</v>
      </c>
      <c r="E168" s="9" t="s">
        <v>741</v>
      </c>
      <c r="F168" s="9" t="s">
        <v>260</v>
      </c>
      <c r="G168" s="9" t="s">
        <v>261</v>
      </c>
      <c r="H168" s="9" t="s">
        <v>262</v>
      </c>
      <c r="I168" s="9" t="s">
        <v>44</v>
      </c>
      <c r="J168" s="9" t="s">
        <v>263</v>
      </c>
      <c r="K168" s="9" t="s">
        <v>206</v>
      </c>
      <c r="L168" s="9" t="s">
        <v>976</v>
      </c>
      <c r="M168" s="9" t="s">
        <v>977</v>
      </c>
    </row>
    <row r="169" spans="1:13" ht="39.6" x14ac:dyDescent="0.3">
      <c r="A169" s="9" t="s">
        <v>100</v>
      </c>
      <c r="B169" s="9" t="s">
        <v>974</v>
      </c>
      <c r="C169" s="9" t="s">
        <v>978</v>
      </c>
      <c r="D169" s="9" t="s">
        <v>975</v>
      </c>
      <c r="E169" s="9" t="s">
        <v>979</v>
      </c>
      <c r="F169" s="9" t="s">
        <v>245</v>
      </c>
      <c r="G169" s="9" t="s">
        <v>980</v>
      </c>
      <c r="H169" s="9" t="s">
        <v>981</v>
      </c>
      <c r="I169" s="9" t="s">
        <v>44</v>
      </c>
      <c r="J169" s="9" t="s">
        <v>982</v>
      </c>
      <c r="K169" s="9" t="s">
        <v>206</v>
      </c>
      <c r="L169" s="9" t="s">
        <v>983</v>
      </c>
      <c r="M169" s="9" t="s">
        <v>984</v>
      </c>
    </row>
    <row r="170" spans="1:13" ht="39.6" x14ac:dyDescent="0.3">
      <c r="A170" s="9" t="s">
        <v>100</v>
      </c>
      <c r="B170" s="9" t="s">
        <v>974</v>
      </c>
      <c r="C170" s="9" t="s">
        <v>985</v>
      </c>
      <c r="D170" s="9" t="s">
        <v>975</v>
      </c>
      <c r="E170" s="9" t="s">
        <v>986</v>
      </c>
      <c r="F170" s="9" t="s">
        <v>245</v>
      </c>
      <c r="G170" s="9" t="s">
        <v>431</v>
      </c>
      <c r="H170" s="9" t="s">
        <v>987</v>
      </c>
      <c r="I170" s="9" t="s">
        <v>44</v>
      </c>
      <c r="J170" s="9" t="s">
        <v>988</v>
      </c>
      <c r="K170" s="9" t="s">
        <v>206</v>
      </c>
      <c r="L170" s="9" t="s">
        <v>989</v>
      </c>
      <c r="M170" s="9" t="s">
        <v>984</v>
      </c>
    </row>
    <row r="171" spans="1:13" ht="39.6" x14ac:dyDescent="0.3">
      <c r="A171" s="9" t="s">
        <v>100</v>
      </c>
      <c r="B171" s="9" t="s">
        <v>974</v>
      </c>
      <c r="C171" s="9" t="s">
        <v>990</v>
      </c>
      <c r="D171" s="9" t="s">
        <v>975</v>
      </c>
      <c r="E171" s="9" t="s">
        <v>991</v>
      </c>
      <c r="F171" s="9" t="s">
        <v>245</v>
      </c>
      <c r="G171" s="9" t="s">
        <v>992</v>
      </c>
      <c r="H171" s="9" t="s">
        <v>993</v>
      </c>
      <c r="I171" s="9" t="s">
        <v>44</v>
      </c>
      <c r="J171" s="9" t="s">
        <v>994</v>
      </c>
      <c r="K171" s="9" t="s">
        <v>206</v>
      </c>
      <c r="L171" s="9" t="s">
        <v>995</v>
      </c>
      <c r="M171" s="9" t="s">
        <v>977</v>
      </c>
    </row>
    <row r="172" spans="1:13" ht="39.6" x14ac:dyDescent="0.3">
      <c r="A172" s="9" t="s">
        <v>100</v>
      </c>
      <c r="B172" s="9" t="s">
        <v>974</v>
      </c>
      <c r="C172" s="9" t="s">
        <v>996</v>
      </c>
      <c r="D172" s="9" t="s">
        <v>975</v>
      </c>
      <c r="E172" s="9" t="s">
        <v>997</v>
      </c>
      <c r="F172" s="9" t="s">
        <v>245</v>
      </c>
      <c r="G172" s="9" t="s">
        <v>998</v>
      </c>
      <c r="H172" s="9" t="s">
        <v>999</v>
      </c>
      <c r="I172" s="9" t="s">
        <v>44</v>
      </c>
      <c r="J172" s="9" t="s">
        <v>1000</v>
      </c>
      <c r="K172" s="9" t="s">
        <v>206</v>
      </c>
      <c r="L172" s="9" t="s">
        <v>1001</v>
      </c>
      <c r="M172" s="9" t="s">
        <v>984</v>
      </c>
    </row>
    <row r="173" spans="1:13" ht="39.6" x14ac:dyDescent="0.3">
      <c r="A173" s="9" t="s">
        <v>74</v>
      </c>
      <c r="B173" s="9" t="s">
        <v>974</v>
      </c>
      <c r="C173" s="9" t="s">
        <v>1002</v>
      </c>
      <c r="D173" s="9" t="s">
        <v>975</v>
      </c>
      <c r="E173" s="9" t="s">
        <v>1003</v>
      </c>
      <c r="F173" s="9" t="s">
        <v>245</v>
      </c>
      <c r="G173" s="9" t="s">
        <v>1004</v>
      </c>
      <c r="H173" s="9" t="s">
        <v>1005</v>
      </c>
      <c r="I173" s="9" t="s">
        <v>44</v>
      </c>
      <c r="J173" s="9" t="s">
        <v>1006</v>
      </c>
      <c r="K173" s="9" t="s">
        <v>206</v>
      </c>
      <c r="L173" s="9" t="s">
        <v>1007</v>
      </c>
      <c r="M173" s="9" t="s">
        <v>1008</v>
      </c>
    </row>
    <row r="174" spans="1:13" ht="39.6" x14ac:dyDescent="0.3">
      <c r="A174" s="9" t="s">
        <v>74</v>
      </c>
      <c r="B174" s="9" t="s">
        <v>974</v>
      </c>
      <c r="C174" s="9" t="s">
        <v>1009</v>
      </c>
      <c r="D174" s="9" t="s">
        <v>975</v>
      </c>
      <c r="E174" s="9" t="s">
        <v>1010</v>
      </c>
      <c r="F174" s="9" t="s">
        <v>245</v>
      </c>
      <c r="G174" s="9" t="s">
        <v>523</v>
      </c>
      <c r="H174" s="9" t="s">
        <v>1011</v>
      </c>
      <c r="I174" s="9" t="s">
        <v>44</v>
      </c>
      <c r="J174" s="9" t="s">
        <v>1012</v>
      </c>
      <c r="K174" s="9" t="s">
        <v>206</v>
      </c>
      <c r="L174" s="9" t="s">
        <v>1013</v>
      </c>
      <c r="M174" s="9" t="s">
        <v>1008</v>
      </c>
    </row>
    <row r="175" spans="1:13" ht="39.6" x14ac:dyDescent="0.3">
      <c r="A175" s="9" t="s">
        <v>74</v>
      </c>
      <c r="B175" s="9" t="s">
        <v>974</v>
      </c>
      <c r="C175" s="9" t="s">
        <v>1014</v>
      </c>
      <c r="D175" s="9" t="s">
        <v>975</v>
      </c>
      <c r="E175" s="9" t="s">
        <v>1015</v>
      </c>
      <c r="F175" s="9" t="s">
        <v>245</v>
      </c>
      <c r="G175" s="9" t="s">
        <v>431</v>
      </c>
      <c r="H175" s="9" t="s">
        <v>1016</v>
      </c>
      <c r="I175" s="9" t="s">
        <v>44</v>
      </c>
      <c r="J175" s="9" t="s">
        <v>1017</v>
      </c>
      <c r="K175" s="9" t="s">
        <v>206</v>
      </c>
      <c r="L175" s="9" t="s">
        <v>1018</v>
      </c>
      <c r="M175" s="9" t="s">
        <v>1008</v>
      </c>
    </row>
    <row r="176" spans="1:13" ht="39.6" x14ac:dyDescent="0.3">
      <c r="A176" s="9" t="s">
        <v>36</v>
      </c>
      <c r="B176" s="9" t="s">
        <v>974</v>
      </c>
      <c r="C176" s="9" t="s">
        <v>1019</v>
      </c>
      <c r="D176" s="9" t="s">
        <v>975</v>
      </c>
      <c r="E176" s="9" t="s">
        <v>1020</v>
      </c>
      <c r="F176" s="9" t="s">
        <v>245</v>
      </c>
      <c r="G176" s="9" t="s">
        <v>1021</v>
      </c>
      <c r="H176" s="9" t="s">
        <v>1022</v>
      </c>
      <c r="I176" s="9" t="s">
        <v>44</v>
      </c>
      <c r="J176" s="9" t="s">
        <v>1023</v>
      </c>
      <c r="K176" s="9" t="s">
        <v>206</v>
      </c>
      <c r="L176" s="9" t="s">
        <v>1247</v>
      </c>
      <c r="M176" s="9" t="s">
        <v>1008</v>
      </c>
    </row>
    <row r="177" spans="1:13" ht="39.6" x14ac:dyDescent="0.3">
      <c r="A177" s="9" t="s">
        <v>36</v>
      </c>
      <c r="B177" s="9" t="s">
        <v>974</v>
      </c>
      <c r="C177" s="9" t="s">
        <v>1024</v>
      </c>
      <c r="D177" s="9" t="s">
        <v>975</v>
      </c>
      <c r="E177" s="9" t="s">
        <v>1025</v>
      </c>
      <c r="F177" s="9" t="s">
        <v>245</v>
      </c>
      <c r="G177" s="9" t="s">
        <v>1026</v>
      </c>
      <c r="H177" s="9" t="s">
        <v>1027</v>
      </c>
      <c r="I177" s="9" t="s">
        <v>44</v>
      </c>
      <c r="J177" s="9" t="s">
        <v>1028</v>
      </c>
      <c r="K177" s="9" t="s">
        <v>206</v>
      </c>
      <c r="L177" s="9" t="s">
        <v>1029</v>
      </c>
      <c r="M177" s="9" t="s">
        <v>1030</v>
      </c>
    </row>
    <row r="178" spans="1:13" ht="39.6" x14ac:dyDescent="0.3">
      <c r="A178" s="9" t="s">
        <v>36</v>
      </c>
      <c r="B178" s="9" t="s">
        <v>974</v>
      </c>
      <c r="C178" s="9" t="s">
        <v>1031</v>
      </c>
      <c r="D178" s="9" t="s">
        <v>975</v>
      </c>
      <c r="E178" s="9" t="s">
        <v>1032</v>
      </c>
      <c r="F178" s="9" t="s">
        <v>245</v>
      </c>
      <c r="G178" s="9" t="s">
        <v>1033</v>
      </c>
      <c r="H178" s="9" t="s">
        <v>944</v>
      </c>
      <c r="I178" s="9" t="s">
        <v>44</v>
      </c>
      <c r="J178" s="9" t="s">
        <v>1034</v>
      </c>
      <c r="K178" s="9" t="s">
        <v>206</v>
      </c>
      <c r="L178" s="9" t="s">
        <v>1035</v>
      </c>
      <c r="M178" s="9" t="s">
        <v>1030</v>
      </c>
    </row>
    <row r="179" spans="1:13" ht="39.6" x14ac:dyDescent="0.3">
      <c r="A179" s="9" t="s">
        <v>36</v>
      </c>
      <c r="B179" s="9" t="s">
        <v>974</v>
      </c>
      <c r="C179" s="9" t="s">
        <v>1036</v>
      </c>
      <c r="D179" s="9" t="s">
        <v>975</v>
      </c>
      <c r="E179" s="9" t="s">
        <v>1037</v>
      </c>
      <c r="F179" s="9" t="s">
        <v>245</v>
      </c>
      <c r="G179" s="9" t="s">
        <v>1038</v>
      </c>
      <c r="H179" s="9" t="s">
        <v>1039</v>
      </c>
      <c r="I179" s="9" t="s">
        <v>44</v>
      </c>
      <c r="J179" s="9" t="s">
        <v>1040</v>
      </c>
      <c r="K179" s="9" t="s">
        <v>206</v>
      </c>
      <c r="L179" s="9" t="s">
        <v>1041</v>
      </c>
      <c r="M179" s="9" t="s">
        <v>1030</v>
      </c>
    </row>
    <row r="180" spans="1:13" ht="39.6" x14ac:dyDescent="0.3">
      <c r="A180" s="9" t="s">
        <v>36</v>
      </c>
      <c r="B180" s="9" t="s">
        <v>974</v>
      </c>
      <c r="C180" s="9" t="s">
        <v>1042</v>
      </c>
      <c r="D180" s="9" t="s">
        <v>975</v>
      </c>
      <c r="E180" s="9" t="s">
        <v>1043</v>
      </c>
      <c r="F180" s="9" t="s">
        <v>245</v>
      </c>
      <c r="G180" s="9" t="s">
        <v>1044</v>
      </c>
      <c r="H180" s="9" t="s">
        <v>1045</v>
      </c>
      <c r="I180" s="9" t="s">
        <v>44</v>
      </c>
      <c r="J180" s="9" t="s">
        <v>1046</v>
      </c>
      <c r="K180" s="9" t="s">
        <v>206</v>
      </c>
      <c r="L180" s="9" t="s">
        <v>1047</v>
      </c>
      <c r="M180" s="9" t="s">
        <v>1030</v>
      </c>
    </row>
    <row r="181" spans="1:13" ht="39.6" x14ac:dyDescent="0.3">
      <c r="A181" s="9" t="s">
        <v>36</v>
      </c>
      <c r="B181" s="9" t="s">
        <v>974</v>
      </c>
      <c r="C181" s="9" t="s">
        <v>1048</v>
      </c>
      <c r="D181" s="9" t="s">
        <v>975</v>
      </c>
      <c r="E181" s="9" t="s">
        <v>1049</v>
      </c>
      <c r="F181" s="9" t="s">
        <v>245</v>
      </c>
      <c r="G181" s="9" t="s">
        <v>1050</v>
      </c>
      <c r="H181" s="9" t="s">
        <v>1051</v>
      </c>
      <c r="I181" s="9" t="s">
        <v>44</v>
      </c>
      <c r="J181" s="9" t="s">
        <v>1052</v>
      </c>
      <c r="K181" s="9" t="s">
        <v>206</v>
      </c>
      <c r="L181" s="9" t="s">
        <v>1053</v>
      </c>
      <c r="M181" s="9" t="s">
        <v>977</v>
      </c>
    </row>
    <row r="182" spans="1:13" ht="39.6" x14ac:dyDescent="0.3">
      <c r="A182" s="9" t="s">
        <v>36</v>
      </c>
      <c r="B182" s="9" t="s">
        <v>974</v>
      </c>
      <c r="C182" s="9" t="s">
        <v>1054</v>
      </c>
      <c r="D182" s="9" t="s">
        <v>975</v>
      </c>
      <c r="E182" s="9" t="s">
        <v>1055</v>
      </c>
      <c r="F182" s="9" t="s">
        <v>260</v>
      </c>
      <c r="G182" s="9" t="s">
        <v>1056</v>
      </c>
      <c r="H182" s="9" t="s">
        <v>1057</v>
      </c>
      <c r="I182" s="9" t="s">
        <v>44</v>
      </c>
      <c r="J182" s="9" t="s">
        <v>1058</v>
      </c>
      <c r="K182" s="9" t="s">
        <v>206</v>
      </c>
      <c r="L182" s="9" t="s">
        <v>1059</v>
      </c>
      <c r="M182" s="9" t="s">
        <v>977</v>
      </c>
    </row>
    <row r="183" spans="1:13" ht="26.4" x14ac:dyDescent="0.3">
      <c r="A183" s="9" t="s">
        <v>63</v>
      </c>
      <c r="B183" s="9" t="s">
        <v>974</v>
      </c>
      <c r="C183" s="9" t="s">
        <v>1060</v>
      </c>
      <c r="D183" s="9" t="s">
        <v>975</v>
      </c>
      <c r="E183" s="9" t="s">
        <v>1061</v>
      </c>
      <c r="F183" s="9" t="s">
        <v>245</v>
      </c>
      <c r="G183" s="9" t="s">
        <v>431</v>
      </c>
      <c r="H183" s="9" t="s">
        <v>1062</v>
      </c>
      <c r="I183" s="9" t="s">
        <v>44</v>
      </c>
      <c r="J183" s="9" t="s">
        <v>1063</v>
      </c>
      <c r="K183" s="9" t="s">
        <v>206</v>
      </c>
      <c r="L183" s="9" t="s">
        <v>1064</v>
      </c>
      <c r="M183" s="9" t="s">
        <v>1065</v>
      </c>
    </row>
    <row r="184" spans="1:13" ht="39.6" x14ac:dyDescent="0.3">
      <c r="A184" s="9" t="s">
        <v>36</v>
      </c>
      <c r="B184" s="9" t="s">
        <v>974</v>
      </c>
      <c r="C184" s="9" t="s">
        <v>1066</v>
      </c>
      <c r="D184" s="9" t="s">
        <v>975</v>
      </c>
      <c r="E184" s="9" t="s">
        <v>1067</v>
      </c>
      <c r="F184" s="9" t="s">
        <v>245</v>
      </c>
      <c r="G184" s="9" t="s">
        <v>1068</v>
      </c>
      <c r="H184" s="9" t="s">
        <v>1069</v>
      </c>
      <c r="I184" s="9" t="s">
        <v>44</v>
      </c>
      <c r="J184" s="9" t="s">
        <v>1070</v>
      </c>
      <c r="K184" s="9" t="s">
        <v>206</v>
      </c>
      <c r="L184" s="9" t="s">
        <v>1071</v>
      </c>
      <c r="M184" s="9" t="s">
        <v>1065</v>
      </c>
    </row>
    <row r="185" spans="1:13" ht="26.4" x14ac:dyDescent="0.3">
      <c r="A185" s="9" t="s">
        <v>63</v>
      </c>
      <c r="B185" s="9" t="s">
        <v>974</v>
      </c>
      <c r="C185" s="9" t="s">
        <v>1072</v>
      </c>
      <c r="D185" s="9" t="s">
        <v>975</v>
      </c>
      <c r="E185" s="9" t="s">
        <v>1073</v>
      </c>
      <c r="F185" s="9" t="s">
        <v>245</v>
      </c>
      <c r="G185" s="9" t="s">
        <v>431</v>
      </c>
      <c r="H185" s="9" t="s">
        <v>1074</v>
      </c>
      <c r="I185" s="9" t="s">
        <v>44</v>
      </c>
      <c r="J185" s="9" t="s">
        <v>1075</v>
      </c>
      <c r="K185" s="9" t="s">
        <v>206</v>
      </c>
      <c r="L185" s="9" t="s">
        <v>1076</v>
      </c>
      <c r="M185" s="9" t="s">
        <v>1065</v>
      </c>
    </row>
    <row r="186" spans="1:13" ht="39.6" x14ac:dyDescent="0.3">
      <c r="A186" s="9" t="s">
        <v>63</v>
      </c>
      <c r="B186" s="9" t="s">
        <v>974</v>
      </c>
      <c r="C186" s="9" t="s">
        <v>1077</v>
      </c>
      <c r="D186" s="9" t="s">
        <v>975</v>
      </c>
      <c r="E186" s="9" t="s">
        <v>1078</v>
      </c>
      <c r="F186" s="9" t="s">
        <v>245</v>
      </c>
      <c r="G186" s="9" t="s">
        <v>1079</v>
      </c>
      <c r="H186" s="9" t="s">
        <v>1080</v>
      </c>
      <c r="I186" s="9" t="s">
        <v>44</v>
      </c>
      <c r="J186" s="9" t="s">
        <v>1081</v>
      </c>
      <c r="K186" s="9" t="s">
        <v>206</v>
      </c>
      <c r="L186" s="9" t="s">
        <v>1082</v>
      </c>
      <c r="M186" s="9" t="s">
        <v>977</v>
      </c>
    </row>
    <row r="187" spans="1:13" ht="39.6" x14ac:dyDescent="0.3">
      <c r="A187" s="9" t="s">
        <v>36</v>
      </c>
      <c r="B187" s="9" t="s">
        <v>974</v>
      </c>
      <c r="C187" s="9" t="s">
        <v>1083</v>
      </c>
      <c r="D187" s="9" t="s">
        <v>975</v>
      </c>
      <c r="E187" s="9" t="s">
        <v>1084</v>
      </c>
      <c r="F187" s="9" t="s">
        <v>245</v>
      </c>
      <c r="G187" s="9" t="s">
        <v>1085</v>
      </c>
      <c r="H187" s="9" t="s">
        <v>1086</v>
      </c>
      <c r="I187" s="9" t="s">
        <v>44</v>
      </c>
      <c r="J187" s="9" t="s">
        <v>1087</v>
      </c>
      <c r="K187" s="9" t="s">
        <v>206</v>
      </c>
      <c r="L187" s="9" t="s">
        <v>1088</v>
      </c>
      <c r="M187" s="9" t="s">
        <v>977</v>
      </c>
    </row>
    <row r="188" spans="1:13" ht="52.8" x14ac:dyDescent="0.3">
      <c r="A188" s="9" t="s">
        <v>127</v>
      </c>
      <c r="B188" s="9" t="s">
        <v>974</v>
      </c>
      <c r="C188" s="9" t="s">
        <v>1089</v>
      </c>
      <c r="D188" s="9" t="s">
        <v>975</v>
      </c>
      <c r="E188" s="9" t="s">
        <v>1248</v>
      </c>
      <c r="F188" s="9" t="s">
        <v>245</v>
      </c>
      <c r="G188" s="9" t="s">
        <v>844</v>
      </c>
      <c r="H188" s="9" t="s">
        <v>1090</v>
      </c>
      <c r="I188" s="9" t="s">
        <v>330</v>
      </c>
      <c r="J188" s="9" t="s">
        <v>1091</v>
      </c>
      <c r="K188" s="9" t="s">
        <v>206</v>
      </c>
      <c r="L188" s="9" t="s">
        <v>1249</v>
      </c>
      <c r="M188" s="9" t="s">
        <v>1092</v>
      </c>
    </row>
    <row r="189" spans="1:13" ht="66" x14ac:dyDescent="0.3">
      <c r="A189" s="9" t="s">
        <v>74</v>
      </c>
      <c r="B189" s="9" t="s">
        <v>974</v>
      </c>
      <c r="C189" s="9" t="s">
        <v>1093</v>
      </c>
      <c r="D189" s="9" t="s">
        <v>975</v>
      </c>
      <c r="E189" s="9" t="s">
        <v>1094</v>
      </c>
      <c r="F189" s="9" t="s">
        <v>245</v>
      </c>
      <c r="G189" s="9" t="s">
        <v>1095</v>
      </c>
      <c r="H189" s="9" t="s">
        <v>1096</v>
      </c>
      <c r="I189" s="9" t="s">
        <v>44</v>
      </c>
      <c r="J189" s="9" t="s">
        <v>1097</v>
      </c>
      <c r="K189" s="9" t="s">
        <v>206</v>
      </c>
      <c r="L189" s="9" t="s">
        <v>1098</v>
      </c>
      <c r="M189" s="9" t="s">
        <v>1008</v>
      </c>
    </row>
    <row r="190" spans="1:13" ht="79.2" x14ac:dyDescent="0.3">
      <c r="A190" s="9" t="s">
        <v>36</v>
      </c>
      <c r="B190" s="9" t="s">
        <v>974</v>
      </c>
      <c r="C190" s="9" t="s">
        <v>1099</v>
      </c>
      <c r="D190" s="9" t="s">
        <v>975</v>
      </c>
      <c r="E190" s="9" t="s">
        <v>1100</v>
      </c>
      <c r="F190" s="9" t="s">
        <v>245</v>
      </c>
      <c r="G190" s="9" t="s">
        <v>1095</v>
      </c>
      <c r="H190" s="9" t="s">
        <v>1101</v>
      </c>
      <c r="I190" s="9" t="s">
        <v>44</v>
      </c>
      <c r="J190" s="9" t="s">
        <v>1102</v>
      </c>
      <c r="K190" s="9" t="s">
        <v>206</v>
      </c>
      <c r="L190" s="9" t="s">
        <v>1103</v>
      </c>
      <c r="M190" s="9" t="s">
        <v>1030</v>
      </c>
    </row>
    <row r="191" spans="1:13" ht="66" x14ac:dyDescent="0.3">
      <c r="A191" s="9" t="s">
        <v>63</v>
      </c>
      <c r="B191" s="9" t="s">
        <v>974</v>
      </c>
      <c r="C191" s="9" t="s">
        <v>1104</v>
      </c>
      <c r="D191" s="9" t="s">
        <v>975</v>
      </c>
      <c r="E191" s="9" t="s">
        <v>1105</v>
      </c>
      <c r="F191" s="9" t="s">
        <v>245</v>
      </c>
      <c r="G191" s="9" t="s">
        <v>1095</v>
      </c>
      <c r="H191" s="9" t="s">
        <v>1106</v>
      </c>
      <c r="I191" s="9" t="s">
        <v>44</v>
      </c>
      <c r="J191" s="9" t="s">
        <v>1107</v>
      </c>
      <c r="K191" s="9" t="s">
        <v>206</v>
      </c>
      <c r="L191" s="9" t="s">
        <v>1108</v>
      </c>
      <c r="M191" s="9" t="s">
        <v>1065</v>
      </c>
    </row>
    <row r="192" spans="1:13" ht="66" x14ac:dyDescent="0.3">
      <c r="A192" s="9" t="s">
        <v>100</v>
      </c>
      <c r="B192" s="9" t="s">
        <v>974</v>
      </c>
      <c r="C192" s="9" t="s">
        <v>1109</v>
      </c>
      <c r="D192" s="9" t="s">
        <v>975</v>
      </c>
      <c r="E192" s="9" t="s">
        <v>1110</v>
      </c>
      <c r="F192" s="9" t="s">
        <v>245</v>
      </c>
      <c r="G192" s="9" t="s">
        <v>1095</v>
      </c>
      <c r="H192" s="9" t="s">
        <v>1111</v>
      </c>
      <c r="I192" s="9" t="s">
        <v>44</v>
      </c>
      <c r="J192" s="9" t="s">
        <v>1112</v>
      </c>
      <c r="K192" s="9" t="s">
        <v>206</v>
      </c>
      <c r="L192" s="9" t="s">
        <v>1113</v>
      </c>
      <c r="M192" s="9" t="s">
        <v>984</v>
      </c>
    </row>
    <row r="193" spans="1:13" ht="52.8" x14ac:dyDescent="0.3">
      <c r="A193" s="9" t="s">
        <v>127</v>
      </c>
      <c r="B193" s="9" t="s">
        <v>974</v>
      </c>
      <c r="C193" s="9" t="s">
        <v>1114</v>
      </c>
      <c r="D193" s="9" t="s">
        <v>975</v>
      </c>
      <c r="E193" s="9" t="s">
        <v>1250</v>
      </c>
      <c r="F193" s="9" t="s">
        <v>245</v>
      </c>
      <c r="G193" s="9" t="s">
        <v>1095</v>
      </c>
      <c r="H193" s="9" t="s">
        <v>1115</v>
      </c>
      <c r="I193" s="9" t="s">
        <v>330</v>
      </c>
      <c r="J193" s="9" t="s">
        <v>1116</v>
      </c>
      <c r="K193" s="9" t="s">
        <v>206</v>
      </c>
      <c r="L193" s="9" t="s">
        <v>1117</v>
      </c>
      <c r="M193" s="9" t="s">
        <v>1092</v>
      </c>
    </row>
  </sheetData>
  <dataValidations count="3">
    <dataValidation type="list" allowBlank="1" error="Elijan una opción de la lista" sqref="F4:F193" xr:uid="{00000000-0002-0000-0200-000000000000}">
      <formula1>"Texto,Entero,Decimal,Fecha,Booleano,Código,Coordenada / geometría"</formula1>
    </dataValidation>
    <dataValidation type="list" allowBlank="1" error="Elijan una opción de la lista" sqref="I4:I193" xr:uid="{00000000-0002-0000-0200-000001000000}">
      <formula1>"Sí,No"</formula1>
    </dataValidation>
    <dataValidation type="list" allowBlank="1" error="Elijan una opción de la lista" sqref="K4:K193" xr:uid="{00000000-0002-0000-0200-000002000000}">
      <formula1>"Pública,Interna,Sensible,Dato personal"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>
      <pane xSplit="1" ySplit="3" topLeftCell="B13" activePane="bottomRight" state="frozen"/>
      <selection pane="topRight"/>
      <selection pane="bottomLeft"/>
      <selection pane="bottomRight" activeCell="C5" sqref="C5"/>
    </sheetView>
  </sheetViews>
  <sheetFormatPr baseColWidth="10" defaultColWidth="8.88671875" defaultRowHeight="14.4" x14ac:dyDescent="0.3"/>
  <cols>
    <col min="1" max="1" width="5" style="24" customWidth="1"/>
    <col min="2" max="2" width="19.21875" style="24" bestFit="1" customWidth="1"/>
    <col min="3" max="3" width="37" style="24" customWidth="1"/>
    <col min="4" max="4" width="48.5546875" style="24" customWidth="1"/>
    <col min="5" max="5" width="51.44140625" style="24" customWidth="1"/>
    <col min="6" max="6" width="11.109375" style="24" customWidth="1"/>
    <col min="7" max="7" width="12" style="24" customWidth="1"/>
    <col min="8" max="8" width="66.33203125" style="24" customWidth="1"/>
    <col min="9" max="16384" width="8.88671875" style="24"/>
  </cols>
  <sheetData>
    <row r="1" spans="1:8" ht="17.399999999999999" x14ac:dyDescent="0.3">
      <c r="A1" s="23" t="s">
        <v>1118</v>
      </c>
    </row>
    <row r="2" spans="1:8" x14ac:dyDescent="0.3">
      <c r="A2" s="25" t="s">
        <v>1119</v>
      </c>
    </row>
    <row r="3" spans="1:8" s="17" customFormat="1" ht="42" customHeight="1" x14ac:dyDescent="0.3">
      <c r="A3" s="8" t="s">
        <v>1120</v>
      </c>
      <c r="B3" s="8" t="s">
        <v>1121</v>
      </c>
      <c r="C3" s="8" t="s">
        <v>1122</v>
      </c>
      <c r="D3" s="8" t="s">
        <v>1123</v>
      </c>
      <c r="E3" s="8" t="s">
        <v>1124</v>
      </c>
      <c r="F3" s="8" t="s">
        <v>1125</v>
      </c>
      <c r="G3" s="8" t="s">
        <v>1126</v>
      </c>
      <c r="H3" s="8" t="s">
        <v>1127</v>
      </c>
    </row>
    <row r="4" spans="1:8" s="17" customFormat="1" ht="43.2" x14ac:dyDescent="0.3">
      <c r="A4" s="15" t="s">
        <v>1129</v>
      </c>
      <c r="B4" s="19" t="s">
        <v>1130</v>
      </c>
      <c r="C4" s="19" t="s">
        <v>1131</v>
      </c>
      <c r="D4" s="19" t="s">
        <v>1132</v>
      </c>
      <c r="E4" s="19" t="s">
        <v>1133</v>
      </c>
      <c r="F4" s="19" t="s">
        <v>1134</v>
      </c>
      <c r="G4" s="19" t="s">
        <v>1135</v>
      </c>
      <c r="H4" s="19" t="s">
        <v>1136</v>
      </c>
    </row>
    <row r="5" spans="1:8" s="17" customFormat="1" ht="86.4" x14ac:dyDescent="0.3">
      <c r="A5" s="16" t="s">
        <v>531</v>
      </c>
      <c r="B5" s="19" t="s">
        <v>1130</v>
      </c>
      <c r="C5" s="20" t="s">
        <v>1137</v>
      </c>
      <c r="D5" s="20" t="s">
        <v>1138</v>
      </c>
      <c r="E5" s="20" t="s">
        <v>1251</v>
      </c>
      <c r="F5" s="20" t="s">
        <v>1128</v>
      </c>
      <c r="G5" s="20" t="s">
        <v>1252</v>
      </c>
      <c r="H5" s="20" t="s">
        <v>1139</v>
      </c>
    </row>
    <row r="6" spans="1:8" s="17" customFormat="1" ht="43.2" x14ac:dyDescent="0.3">
      <c r="A6" s="15" t="s">
        <v>346</v>
      </c>
      <c r="B6" s="19" t="s">
        <v>1130</v>
      </c>
      <c r="C6" s="21" t="s">
        <v>1140</v>
      </c>
      <c r="D6" s="21" t="s">
        <v>1141</v>
      </c>
      <c r="E6" s="21" t="s">
        <v>1142</v>
      </c>
      <c r="F6" s="21" t="s">
        <v>1134</v>
      </c>
      <c r="G6" s="21" t="s">
        <v>1143</v>
      </c>
      <c r="H6" s="21" t="s">
        <v>1144</v>
      </c>
    </row>
    <row r="7" spans="1:8" s="17" customFormat="1" ht="43.2" x14ac:dyDescent="0.3">
      <c r="A7" s="15" t="s">
        <v>204</v>
      </c>
      <c r="B7" s="19" t="s">
        <v>1130</v>
      </c>
      <c r="C7" s="22" t="s">
        <v>1145</v>
      </c>
      <c r="D7" s="22" t="s">
        <v>1146</v>
      </c>
      <c r="E7" s="22" t="s">
        <v>1147</v>
      </c>
      <c r="F7" s="22" t="s">
        <v>1134</v>
      </c>
      <c r="G7" s="22" t="s">
        <v>63</v>
      </c>
      <c r="H7" s="22" t="s">
        <v>1148</v>
      </c>
    </row>
    <row r="8" spans="1:8" s="17" customFormat="1" ht="43.2" x14ac:dyDescent="0.3">
      <c r="A8" s="15" t="s">
        <v>1149</v>
      </c>
      <c r="B8" s="19" t="s">
        <v>1130</v>
      </c>
      <c r="C8" s="22" t="s">
        <v>1150</v>
      </c>
      <c r="D8" s="22" t="s">
        <v>1151</v>
      </c>
      <c r="E8" s="22" t="s">
        <v>1152</v>
      </c>
      <c r="F8" s="22" t="s">
        <v>1128</v>
      </c>
      <c r="G8" s="22" t="s">
        <v>1153</v>
      </c>
      <c r="H8" s="22" t="s">
        <v>1154</v>
      </c>
    </row>
    <row r="9" spans="1:8" s="17" customFormat="1" ht="43.2" x14ac:dyDescent="0.3">
      <c r="A9" s="15" t="s">
        <v>413</v>
      </c>
      <c r="B9" s="19" t="s">
        <v>1130</v>
      </c>
      <c r="C9" s="15" t="s">
        <v>1155</v>
      </c>
      <c r="D9" s="15" t="s">
        <v>1156</v>
      </c>
      <c r="E9" s="15" t="s">
        <v>1157</v>
      </c>
      <c r="F9" s="15" t="s">
        <v>1134</v>
      </c>
      <c r="G9" s="15" t="s">
        <v>151</v>
      </c>
      <c r="H9" s="15" t="s">
        <v>1158</v>
      </c>
    </row>
    <row r="10" spans="1:8" s="17" customFormat="1" ht="43.2" x14ac:dyDescent="0.3">
      <c r="A10" s="15" t="s">
        <v>1159</v>
      </c>
      <c r="B10" s="19" t="s">
        <v>1130</v>
      </c>
      <c r="C10" s="15" t="s">
        <v>1160</v>
      </c>
      <c r="D10" s="15" t="s">
        <v>1161</v>
      </c>
      <c r="E10" s="15" t="s">
        <v>1162</v>
      </c>
      <c r="F10" s="15" t="s">
        <v>1134</v>
      </c>
      <c r="G10" s="15" t="s">
        <v>118</v>
      </c>
      <c r="H10" s="15" t="s">
        <v>1163</v>
      </c>
    </row>
    <row r="11" spans="1:8" s="17" customFormat="1" ht="79.2" x14ac:dyDescent="0.3">
      <c r="A11" s="9" t="s">
        <v>1253</v>
      </c>
      <c r="B11" s="9" t="s">
        <v>1287</v>
      </c>
      <c r="C11" s="9" t="s">
        <v>1254</v>
      </c>
      <c r="D11" s="9" t="s">
        <v>1255</v>
      </c>
      <c r="E11" s="9" t="s">
        <v>1256</v>
      </c>
      <c r="F11" s="9" t="s">
        <v>1257</v>
      </c>
      <c r="G11" s="9" t="s">
        <v>1258</v>
      </c>
      <c r="H11" s="9" t="s">
        <v>1259</v>
      </c>
    </row>
    <row r="12" spans="1:8" s="17" customFormat="1" ht="39.6" x14ac:dyDescent="0.3">
      <c r="A12" s="9" t="s">
        <v>1260</v>
      </c>
      <c r="B12" s="9" t="s">
        <v>1287</v>
      </c>
      <c r="C12" s="9" t="s">
        <v>1261</v>
      </c>
      <c r="D12" s="9" t="s">
        <v>1262</v>
      </c>
      <c r="E12" s="9" t="s">
        <v>1263</v>
      </c>
      <c r="F12" s="9" t="s">
        <v>1264</v>
      </c>
      <c r="G12" s="9" t="s">
        <v>1265</v>
      </c>
      <c r="H12" s="9" t="s">
        <v>1266</v>
      </c>
    </row>
    <row r="13" spans="1:8" s="17" customFormat="1" ht="66" x14ac:dyDescent="0.3">
      <c r="A13" s="9" t="s">
        <v>1221</v>
      </c>
      <c r="B13" s="9" t="s">
        <v>1287</v>
      </c>
      <c r="C13" s="9" t="s">
        <v>1267</v>
      </c>
      <c r="D13" s="9" t="s">
        <v>1268</v>
      </c>
      <c r="E13" s="9" t="s">
        <v>1269</v>
      </c>
      <c r="F13" s="9" t="s">
        <v>1257</v>
      </c>
      <c r="G13" s="9" t="s">
        <v>1270</v>
      </c>
      <c r="H13" s="9" t="s">
        <v>1271</v>
      </c>
    </row>
    <row r="14" spans="1:8" s="17" customFormat="1" ht="66" x14ac:dyDescent="0.3">
      <c r="A14" s="9" t="s">
        <v>1272</v>
      </c>
      <c r="B14" s="9" t="s">
        <v>1287</v>
      </c>
      <c r="C14" s="9" t="s">
        <v>1273</v>
      </c>
      <c r="D14" s="9" t="s">
        <v>1274</v>
      </c>
      <c r="E14" s="9" t="s">
        <v>1275</v>
      </c>
      <c r="F14" s="9" t="s">
        <v>1128</v>
      </c>
      <c r="G14" s="9" t="s">
        <v>143</v>
      </c>
      <c r="H14" s="9" t="s">
        <v>1276</v>
      </c>
    </row>
    <row r="15" spans="1:8" s="17" customFormat="1" ht="66" x14ac:dyDescent="0.3">
      <c r="A15" s="9" t="s">
        <v>1277</v>
      </c>
      <c r="B15" s="9" t="s">
        <v>1287</v>
      </c>
      <c r="C15" s="9" t="s">
        <v>1278</v>
      </c>
      <c r="D15" s="9" t="s">
        <v>1279</v>
      </c>
      <c r="E15" s="9" t="s">
        <v>1280</v>
      </c>
      <c r="F15" s="9" t="s">
        <v>1257</v>
      </c>
      <c r="G15" s="9" t="s">
        <v>63</v>
      </c>
      <c r="H15" s="9" t="s">
        <v>1281</v>
      </c>
    </row>
    <row r="16" spans="1:8" s="17" customFormat="1" ht="52.8" x14ac:dyDescent="0.3">
      <c r="A16" s="9" t="s">
        <v>1282</v>
      </c>
      <c r="B16" s="9" t="s">
        <v>1287</v>
      </c>
      <c r="C16" s="9" t="s">
        <v>1283</v>
      </c>
      <c r="D16" s="9" t="s">
        <v>1284</v>
      </c>
      <c r="E16" s="9" t="s">
        <v>1285</v>
      </c>
      <c r="F16" s="9" t="s">
        <v>1134</v>
      </c>
      <c r="G16" s="9" t="s">
        <v>143</v>
      </c>
      <c r="H16" s="9" t="s">
        <v>1286</v>
      </c>
    </row>
    <row r="17" spans="1:8" x14ac:dyDescent="0.3">
      <c r="A17" s="9" t="inlineStr">
        <is>
          <t xml:space="preserve">15</t>
        </is>
      </c>
      <c r="B17" s="9" t="inlineStr">
        <is>
          <t xml:space="preserve">Claude </t>
        </is>
      </c>
      <c r="C17" s="9" t="inlineStr">
        <is>
          <t xml:space="preserve">Hacer que el sitio abra bien desde un teléfono.</t>
        </is>
      </c>
      <c r="D17" s="9" t="inlineStr">
        <is>
          <t xml:space="preserve">Escribió el CSS adaptable del sitio: menú plegable, una sola columna y tarjetas que se reacomodan.</t>
        </is>
      </c>
      <c r="E17" s="9" t="inlineStr">
        <is>
          <t xml:space="preserve">Al revisar la Entrega 2 medimos el ancho de la página en una pantalla de 375 px (2026-10-22): medía 434 px y obligaba a desplazarse de lado. La causa eran los subtítulos de las tarjetas, que no podían partirse en dos líneas. Se corrigió y ahora mide 375 px.</t>
        </is>
      </c>
      <c r="F17" s="9" t="inlineStr">
        <is>
          <t xml:space="preserve">Incorrecto</t>
        </is>
      </c>
      <c r="G17" s="9" t="inlineStr">
        <is>
          <t xml:space="preserve">—</t>
        </is>
      </c>
      <c r="H17" s="9" t="inlineStr">
        <is>
          <t xml:space="preserve">«Se ve bien» no es una prueba: el ancho de la página se mide en el tamaño de un teléfono.</t>
        </is>
      </c>
    </row>
    <row r="18" spans="1:8" x14ac:dyDescent="0.3">
      <c r="A18" s="9" t="inlineStr">
        <is>
          <t xml:space="preserve">16</t>
        </is>
      </c>
      <c r="B18" s="9" t="inlineStr">
        <is>
          <t xml:space="preserve">Claude </t>
        </is>
      </c>
      <c r="C18" s="9" t="inlineStr">
        <is>
          <t xml:space="preserve">Escribir el servidor local de desarrollo que replica la compuerta (/api/entrar, /api/sesion, /api/datos).</t>
        </is>
      </c>
      <c r="D18" s="9" t="inlineStr">
        <is>
          <t xml:space="preserve">Entregó un servidor hecho solo con la biblioteca estándar de Python.</t>
        </is>
      </c>
      <c r="E18" s="9" t="inlineStr">
        <is>
          <t xml:space="preserve">Al probar la compuerta con curl (2026-10-22), toda petición a un archivo inexistente quedaba sin respuesta («HTTP 000» en vez de 404): su función de registro fallaba al recibir el código de error. Se corrigió y ahora responde 404.</t>
        </is>
      </c>
      <c r="F18" s="9" t="inlineStr">
        <is>
          <t xml:space="preserve">Incorrecto</t>
        </is>
      </c>
      <c r="G18" s="9" t="inlineStr">
        <is>
          <t xml:space="preserve">—</t>
        </is>
      </c>
      <c r="H18" s="9" t="inlineStr">
        <is>
          <t xml:space="preserve">Las pruebas de seguridad también encuentran errores comunes: un servidor que se cuelga no protege, se rompe.</t>
        </is>
      </c>
    </row>
    <row r="19" spans="1:8" x14ac:dyDescent="0.3">
      <c r="A19" s="9" t="inlineStr">
        <is>
          <t xml:space="preserve">17</t>
        </is>
      </c>
      <c r="B19" s="9" t="inlineStr">
        <is>
          <t xml:space="preserve">Claude </t>
        </is>
      </c>
      <c r="C19" s="9" t="inlineStr">
        <is>
          <t xml:space="preserve">Mostrar la vigencia de las series trimestrales de Eurostat.</t>
        </is>
      </c>
      <c r="D19" s="9" t="inlineStr">
        <is>
          <t xml:space="preserve">Convirtió cada trimestre en un número (2026-T2 → 2026,25) para poder dibujar la serie.</t>
        </is>
      </c>
      <c r="E19" s="9" t="inlineStr">
        <is>
          <t xml:space="preserve">En la ficha de procedencia del índice de precios de vivienda la vigencia decía «2026»: el primer trimestre (2026,0) perdía el «T1». Se corrigió y ahora dice «2026-T1».</t>
        </is>
      </c>
      <c r="F19" s="9" t="inlineStr">
        <is>
          <t xml:space="preserve">Incorrecto</t>
        </is>
      </c>
      <c r="G19" s="9" t="inlineStr">
        <is>
          <t xml:space="preserve">F10</t>
        </is>
      </c>
      <c r="H19" s="9" t="inlineStr">
        <is>
          <t xml:space="preserve">Cada cambio de formato puede borrar información: la vigencia se revisa en el sitio, no solo en el código.</t>
        </is>
      </c>
    </row>
    <row r="20" spans="1:8" x14ac:dyDescent="0.3">
      <c r="A20" s="18"/>
      <c r="B20" s="18"/>
      <c r="C20" s="18"/>
      <c r="D20" s="18"/>
      <c r="E20" s="18"/>
      <c r="F20" s="18"/>
      <c r="G20" s="18"/>
      <c r="H20" s="18"/>
    </row>
    <row r="21" spans="1:8" x14ac:dyDescent="0.3">
      <c r="A21" s="18"/>
      <c r="B21" s="18"/>
      <c r="C21" s="18"/>
      <c r="D21" s="18"/>
      <c r="E21" s="18"/>
      <c r="F21" s="18"/>
      <c r="G21" s="18"/>
      <c r="H21" s="18"/>
    </row>
    <row r="22" spans="1:8" x14ac:dyDescent="0.3">
      <c r="A22" s="18"/>
      <c r="B22" s="18"/>
      <c r="C22" s="18"/>
      <c r="D22" s="18"/>
      <c r="E22" s="18"/>
      <c r="F22" s="18"/>
      <c r="G22" s="18"/>
      <c r="H22" s="18"/>
    </row>
    <row r="23" spans="1:8" x14ac:dyDescent="0.3">
      <c r="A23" s="18"/>
      <c r="B23" s="18"/>
      <c r="C23" s="18"/>
      <c r="D23" s="18"/>
      <c r="E23" s="18"/>
      <c r="F23" s="18"/>
      <c r="G23" s="18"/>
      <c r="H23" s="18"/>
    </row>
    <row r="24" spans="1:8" x14ac:dyDescent="0.3">
      <c r="A24" s="18"/>
      <c r="B24" s="18"/>
      <c r="C24" s="18"/>
      <c r="D24" s="18"/>
      <c r="E24" s="18"/>
      <c r="F24" s="18"/>
      <c r="G24" s="18"/>
      <c r="H24" s="18"/>
    </row>
    <row r="25" spans="1:8" x14ac:dyDescent="0.3">
      <c r="A25" s="18"/>
      <c r="B25" s="18"/>
      <c r="C25" s="18"/>
      <c r="D25" s="18"/>
      <c r="E25" s="18"/>
      <c r="F25" s="18"/>
      <c r="G25" s="18"/>
      <c r="H25" s="18"/>
    </row>
    <row r="26" spans="1:8" x14ac:dyDescent="0.3">
      <c r="A26" s="18"/>
      <c r="B26" s="18"/>
      <c r="C26" s="18"/>
      <c r="D26" s="18"/>
      <c r="E26" s="18"/>
      <c r="F26" s="18"/>
      <c r="G26" s="18"/>
      <c r="H26" s="18"/>
    </row>
    <row r="27" spans="1:8" x14ac:dyDescent="0.3">
      <c r="A27" s="18"/>
      <c r="B27" s="18"/>
      <c r="C27" s="18"/>
      <c r="D27" s="18"/>
      <c r="E27" s="18"/>
      <c r="F27" s="18"/>
      <c r="G27" s="18"/>
      <c r="H27" s="18"/>
    </row>
    <row r="28" spans="1:8" x14ac:dyDescent="0.3">
      <c r="A28" s="18"/>
      <c r="B28" s="18"/>
      <c r="C28" s="18"/>
      <c r="D28" s="18"/>
      <c r="E28" s="18"/>
      <c r="F28" s="18"/>
      <c r="G28" s="18"/>
      <c r="H28" s="18"/>
    </row>
    <row r="29" spans="1:8" x14ac:dyDescent="0.3">
      <c r="A29" s="18"/>
      <c r="B29" s="18"/>
      <c r="C29" s="18"/>
      <c r="D29" s="18"/>
      <c r="E29" s="18"/>
      <c r="F29" s="18"/>
      <c r="G29" s="18"/>
      <c r="H29" s="18"/>
    </row>
    <row r="30" spans="1:8" x14ac:dyDescent="0.3">
      <c r="A30" s="18"/>
      <c r="B30" s="18"/>
      <c r="C30" s="18"/>
      <c r="D30" s="18"/>
      <c r="E30" s="18"/>
      <c r="F30" s="18"/>
      <c r="G30" s="18"/>
      <c r="H30" s="18"/>
    </row>
    <row r="31" spans="1:8" x14ac:dyDescent="0.3">
      <c r="A31" s="18"/>
      <c r="B31" s="18"/>
      <c r="C31" s="18"/>
      <c r="D31" s="18"/>
      <c r="E31" s="18"/>
      <c r="F31" s="18"/>
      <c r="G31" s="18"/>
      <c r="H31" s="18"/>
    </row>
    <row r="32" spans="1:8" x14ac:dyDescent="0.3">
      <c r="A32" s="18"/>
      <c r="B32" s="18"/>
      <c r="C32" s="18"/>
      <c r="D32" s="18"/>
      <c r="E32" s="18"/>
      <c r="F32" s="18"/>
      <c r="G32" s="18"/>
      <c r="H32" s="18"/>
    </row>
    <row r="33" spans="1:8" x14ac:dyDescent="0.3">
      <c r="A33" s="18"/>
      <c r="B33" s="18"/>
      <c r="C33" s="18"/>
      <c r="D33" s="18"/>
      <c r="E33" s="18"/>
      <c r="F33" s="18"/>
      <c r="G33" s="18"/>
      <c r="H33" s="18"/>
    </row>
    <row r="34" spans="1:8" x14ac:dyDescent="0.3">
      <c r="A34" s="18"/>
      <c r="B34" s="18"/>
      <c r="C34" s="18"/>
      <c r="D34" s="18"/>
      <c r="E34" s="18"/>
      <c r="F34" s="18"/>
      <c r="G34" s="18"/>
      <c r="H34" s="18"/>
    </row>
    <row r="35" spans="1:8" x14ac:dyDescent="0.3">
      <c r="A35" s="18"/>
      <c r="B35" s="18"/>
      <c r="C35" s="18"/>
      <c r="D35" s="18"/>
      <c r="E35" s="18"/>
      <c r="F35" s="18"/>
      <c r="G35" s="18"/>
      <c r="H35" s="18"/>
    </row>
    <row r="36" spans="1:8" x14ac:dyDescent="0.3">
      <c r="A36" s="18"/>
      <c r="B36" s="18"/>
      <c r="C36" s="18"/>
      <c r="D36" s="18"/>
      <c r="E36" s="18"/>
      <c r="F36" s="18"/>
      <c r="G36" s="18"/>
      <c r="H36" s="18"/>
    </row>
    <row r="37" spans="1:8" x14ac:dyDescent="0.3">
      <c r="A37" s="18"/>
      <c r="B37" s="18"/>
      <c r="C37" s="18"/>
      <c r="D37" s="18"/>
      <c r="E37" s="18"/>
      <c r="F37" s="18"/>
      <c r="G37" s="18"/>
      <c r="H37" s="18"/>
    </row>
    <row r="38" spans="1:8" x14ac:dyDescent="0.3">
      <c r="A38" s="18"/>
      <c r="B38" s="18"/>
      <c r="C38" s="18"/>
      <c r="D38" s="18"/>
      <c r="E38" s="18"/>
      <c r="F38" s="18"/>
      <c r="G38" s="18"/>
      <c r="H38" s="18"/>
    </row>
    <row r="39" spans="1:8" x14ac:dyDescent="0.3">
      <c r="A39" s="18"/>
      <c r="B39" s="18"/>
      <c r="C39" s="18"/>
      <c r="D39" s="18"/>
      <c r="E39" s="18"/>
      <c r="F39" s="18"/>
      <c r="G39" s="18"/>
      <c r="H39" s="18"/>
    </row>
    <row r="40" spans="1:8" x14ac:dyDescent="0.3">
      <c r="A40" s="18"/>
      <c r="B40" s="18"/>
      <c r="C40" s="18"/>
      <c r="D40" s="18"/>
      <c r="E40" s="18"/>
      <c r="F40" s="18"/>
      <c r="G40" s="18"/>
      <c r="H40" s="18"/>
    </row>
    <row r="41" spans="1:8" x14ac:dyDescent="0.3">
      <c r="A41" s="18"/>
      <c r="B41" s="18"/>
      <c r="C41" s="18"/>
      <c r="D41" s="18"/>
      <c r="E41" s="18"/>
      <c r="F41" s="18"/>
      <c r="G41" s="18"/>
      <c r="H41" s="18"/>
    </row>
    <row r="42" spans="1:8" x14ac:dyDescent="0.3">
      <c r="A42" s="18"/>
      <c r="B42" s="18"/>
      <c r="C42" s="18"/>
      <c r="D42" s="18"/>
      <c r="E42" s="18"/>
      <c r="F42" s="18"/>
      <c r="G42" s="18"/>
      <c r="H42" s="18"/>
    </row>
  </sheetData>
  <dataValidations count="1">
    <dataValidation type="list" allowBlank="1" error="Elijan una opción de la lista" sqref="F4:F42" xr:uid="{00000000-0002-0000-0300-000000000000}">
      <formula1>"Correcto,Parcial,Incorrecto,Inventado"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topLeftCell="A37" zoomScale="85" zoomScaleNormal="85" workbookViewId="0">
      <selection activeCell="A57" sqref="A57"/>
    </sheetView>
  </sheetViews>
  <sheetFormatPr baseColWidth="10" defaultColWidth="8.88671875" defaultRowHeight="14.4" x14ac:dyDescent="0.3"/>
  <cols>
    <col min="1" max="1" width="48" customWidth="1"/>
    <col min="2" max="2" width="14" customWidth="1"/>
  </cols>
  <sheetData>
    <row r="1" spans="1:2" ht="17.399999999999999" x14ac:dyDescent="0.3">
      <c r="A1" s="6" t="s">
        <v>1164</v>
      </c>
    </row>
    <row r="2" spans="1:2" x14ac:dyDescent="0.3">
      <c r="A2" s="7" t="s">
        <v>1165</v>
      </c>
    </row>
    <row r="4" spans="1:2" x14ac:dyDescent="0.3">
      <c r="A4" s="10" t="s">
        <v>1166</v>
      </c>
      <c r="B4" s="11">
        <f>COUNTA('1. Fuentes'!A4:A40)</f>
        <v>17</v>
      </c>
    </row>
    <row r="5" spans="1:2" x14ac:dyDescent="0.3">
      <c r="A5" s="12" t="s">
        <v>1167</v>
      </c>
      <c r="B5" s="11">
        <f>COUNTIF('1. Fuentes'!N4:N40,"Integrada al lago")</f>
        <v>12</v>
      </c>
    </row>
    <row r="6" spans="1:2" x14ac:dyDescent="0.3">
      <c r="A6" s="12" t="s">
        <v>1168</v>
      </c>
      <c r="B6" s="11">
        <f>COUNTIF('1. Fuentes'!N4:N40,"Candidata")</f>
        <v>1</v>
      </c>
    </row>
    <row r="7" spans="1:2" x14ac:dyDescent="0.3">
      <c r="A7" s="12" t="s">
        <v>1169</v>
      </c>
      <c r="B7" s="11">
        <f>COUNTIF('1. Fuentes'!N4:N40,"No responde")</f>
        <v>1</v>
      </c>
    </row>
    <row r="8" spans="1:2" x14ac:dyDescent="0.3">
      <c r="A8" s="12" t="s">
        <v>1170</v>
      </c>
      <c r="B8" s="11">
        <f>COUNTIF('1. Fuentes'!N4:N40,"No existe (la inventó la IA)")</f>
        <v>1</v>
      </c>
    </row>
    <row r="9" spans="1:2" x14ac:dyDescent="0.3">
      <c r="A9" s="12" t="s">
        <v>1171</v>
      </c>
      <c r="B9" s="11">
        <f>COUNTIF('1. Fuentes'!N4:N40,"Descartada")</f>
        <v>2</v>
      </c>
    </row>
    <row r="10" spans="1:2" x14ac:dyDescent="0.3">
      <c r="A10" s="10" t="s">
        <v>1172</v>
      </c>
      <c r="B10" s="11">
        <f>COUNTIF('1. Fuentes'!H4:H40,"no declara")+COUNTIFS('1. Fuentes'!A4:A40,"&lt;&gt;",'1. Fuentes'!H4:H40,"")</f>
        <v>4</v>
      </c>
    </row>
    <row r="11" spans="1:2" x14ac:dyDescent="0.3">
      <c r="A11" s="10" t="s">
        <v>1173</v>
      </c>
      <c r="B11" s="11">
        <f>COUNTIF('1. Fuentes'!I4:I40,"Personas identificables")+COUNTIF('1. Fuentes'!I4:I40,"Texto libre sin revisar")</f>
        <v>1</v>
      </c>
    </row>
    <row r="12" spans="1:2" x14ac:dyDescent="0.3">
      <c r="A12" s="10" t="s">
        <v>1174</v>
      </c>
      <c r="B12" s="11">
        <f>COUNTA('2. Diccionario'!C4:C193)</f>
        <v>190</v>
      </c>
    </row>
    <row r="13" spans="1:2" x14ac:dyDescent="0.3">
      <c r="A13" s="12" t="s">
        <v>1175</v>
      </c>
      <c r="B13" s="11">
        <f>COUNTIF('2. Diccionario'!K4:K193,"Sensible")+COUNTIF('2. Diccionario'!K4:K193,"Dato personal")</f>
        <v>5</v>
      </c>
    </row>
    <row r="14" spans="1:2" x14ac:dyDescent="0.3">
      <c r="A14" s="12" t="s">
        <v>1176</v>
      </c>
      <c r="B14" s="11">
        <f>COUNTIFS('2. Diccionario'!C4:C193,"&lt;&gt;",'2. Diccionario'!M4:M193,"")</f>
        <v>0</v>
      </c>
    </row>
    <row r="15" spans="1:2" x14ac:dyDescent="0.3">
      <c r="A15" s="10" t="s">
        <v>1177</v>
      </c>
      <c r="B15" s="11">
        <f>COUNTA('3. Bitácora IA'!C4:C42)</f>
        <v>16</v>
      </c>
    </row>
    <row r="16" spans="1:2" x14ac:dyDescent="0.3">
      <c r="A16" s="12" t="s">
        <v>1178</v>
      </c>
      <c r="B16" s="11">
        <f>COUNTIF('3. Bitácora IA'!F4:F42,"Incorrecto")+COUNTIF('3. Bitácora IA'!F4:F42,"Inventado")</f>
        <v>7</v>
      </c>
    </row>
    <row r="17" spans="1:2" x14ac:dyDescent="0.3">
      <c r="A17" s="10" t="s">
        <v>1179</v>
      </c>
      <c r="B17" s="13">
        <f>IF(B15=0,"-",COUNTIF('3. Bitácora IA'!F4:F42,"Correcto")/B15)</f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1. Fuentes</vt:lpstr>
      <vt:lpstr>2. Diccionario</vt:lpstr>
      <vt:lpstr>3. Bitácora IA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</cp:lastModifiedBy>
  <cp:revision/>
  <dcterms:created xsi:type="dcterms:W3CDTF">2026-09-28T11:22:59Z</dcterms:created>
  <dcterms:modified xsi:type="dcterms:W3CDTF">2026-10-22T19:28:02Z</dcterms:modified>
  <cp:category/>
  <cp:contentStatus/>
</cp:coreProperties>
</file>